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O3 CARD\"/>
    </mc:Choice>
  </mc:AlternateContent>
  <bookViews>
    <workbookView xWindow="-120" yWindow="450" windowWidth="16110" windowHeight="1372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5" i="1"/>
  <c r="K96" i="1"/>
  <c r="K97" i="1"/>
  <c r="K98" i="1"/>
  <c r="K103" i="1"/>
  <c r="K104" i="1"/>
  <c r="K105" i="1"/>
  <c r="K106" i="1"/>
  <c r="K107" i="1"/>
  <c r="K108" i="1"/>
  <c r="K109" i="1"/>
  <c r="K111" i="1"/>
  <c r="K112" i="1"/>
  <c r="K113" i="1"/>
  <c r="K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l="1"/>
  <c r="A111" i="1" s="1"/>
  <c r="A112" i="1" s="1"/>
  <c r="A113" i="1" s="1"/>
  <c r="A114" i="1" s="1"/>
</calcChain>
</file>

<file path=xl/sharedStrings.xml><?xml version="1.0" encoding="utf-8"?>
<sst xmlns="http://schemas.openxmlformats.org/spreadsheetml/2006/main" count="994" uniqueCount="392">
  <si>
    <t>الجنس</t>
  </si>
  <si>
    <t>فائز سعيد هيوب</t>
  </si>
  <si>
    <t>عمر المختار مفتاح بوكر</t>
  </si>
  <si>
    <t xml:space="preserve">جمعة رمضان العمامي </t>
  </si>
  <si>
    <t xml:space="preserve">طارق محمد المزوغي  </t>
  </si>
  <si>
    <t>عماد محمد حماد</t>
  </si>
  <si>
    <t>رفيق علي بالروين</t>
  </si>
  <si>
    <t>تميم عزام الذيب</t>
  </si>
  <si>
    <t>محمد ادم الصبيحي</t>
  </si>
  <si>
    <t xml:space="preserve">ميلود جلال الحاسية </t>
  </si>
  <si>
    <t xml:space="preserve">طارق محمد الامين </t>
  </si>
  <si>
    <t>معتصم مفتاح الزياني</t>
  </si>
  <si>
    <t>سراج حسن الترهوني</t>
  </si>
  <si>
    <t>طه محمد الفرجاني</t>
  </si>
  <si>
    <t>اسيل عادل قصيبات</t>
  </si>
  <si>
    <t>عمر صلاح اعمورة</t>
  </si>
  <si>
    <t>محمد مصطفى المسلاتي</t>
  </si>
  <si>
    <t>فراس عمر حسين</t>
  </si>
  <si>
    <t>محمد علي امنينة</t>
  </si>
  <si>
    <t xml:space="preserve">عصام خميس الزير </t>
  </si>
  <si>
    <t>فارس مصطفى البرجو</t>
  </si>
  <si>
    <t>انس صلاح سلطان</t>
  </si>
  <si>
    <t>محمد فرج الموهوب</t>
  </si>
  <si>
    <t>حامد جبريل الاسمع</t>
  </si>
  <si>
    <t>ريهام محمد العباني</t>
  </si>
  <si>
    <t>ايمان علي الغرياني</t>
  </si>
  <si>
    <t>انس رمضان بعيو</t>
  </si>
  <si>
    <t>وليد محمد بن موسى</t>
  </si>
  <si>
    <t>امينة عبدالحميد شعماش</t>
  </si>
  <si>
    <t>زوجة</t>
  </si>
  <si>
    <t>الموظف</t>
  </si>
  <si>
    <t>ذكر</t>
  </si>
  <si>
    <t>انثى</t>
  </si>
  <si>
    <t>AD062510</t>
  </si>
  <si>
    <t>عبدالرحمن فائز هيوب</t>
  </si>
  <si>
    <t>عبدالحميد فائز هيوب</t>
  </si>
  <si>
    <t>لورين فائز هيوب</t>
  </si>
  <si>
    <t>لين فائز هيوب</t>
  </si>
  <si>
    <t>ابن</t>
  </si>
  <si>
    <t>ابنة</t>
  </si>
  <si>
    <t>سارة عبدالمولى بدر</t>
  </si>
  <si>
    <t>رواد عمر المختار بوكر</t>
  </si>
  <si>
    <t>روبين عمر المختار بوكر</t>
  </si>
  <si>
    <t>سامي عمر المختار بوكر</t>
  </si>
  <si>
    <t>نعيمة عمر سعد</t>
  </si>
  <si>
    <t>رمضان جمعة العمامي</t>
  </si>
  <si>
    <t>عبد الرحمن  جمعة العمامي</t>
  </si>
  <si>
    <t>سالمة  جمعة العمامي</t>
  </si>
  <si>
    <t>عائشة  جمعة العمامي</t>
  </si>
  <si>
    <t>عمر  جمعة العمامي</t>
  </si>
  <si>
    <t>K4JK6JJ2</t>
  </si>
  <si>
    <t>AB192056</t>
  </si>
  <si>
    <t>F21ZR776</t>
  </si>
  <si>
    <t>K4LK61YJ</t>
  </si>
  <si>
    <t>K4JL6L53</t>
  </si>
  <si>
    <t>N/A</t>
  </si>
  <si>
    <t>AD169584</t>
  </si>
  <si>
    <t>اميرة إبراهيم شراف</t>
  </si>
  <si>
    <t>إلين عماد حماد</t>
  </si>
  <si>
    <t>محمد عماد حماد</t>
  </si>
  <si>
    <t>يزن عماد حماد</t>
  </si>
  <si>
    <t>عاصم عماد حماد</t>
  </si>
  <si>
    <t>AD564512</t>
  </si>
  <si>
    <t>AC001443</t>
  </si>
  <si>
    <t>AC724810</t>
  </si>
  <si>
    <t>شذى مصطفى بن موسى</t>
  </si>
  <si>
    <t>بسام تميم الذيب</t>
  </si>
  <si>
    <t>تيم تميم الذيب</t>
  </si>
  <si>
    <t>AD018162</t>
  </si>
  <si>
    <t>فائزة مختار المبروك</t>
  </si>
  <si>
    <t>شهد محمد عبدالسلام</t>
  </si>
  <si>
    <t>محمد ادريس عبدالسلام</t>
  </si>
  <si>
    <t>ادريس محمد عبدالسلام</t>
  </si>
  <si>
    <t>وعد محمد عبدالسلام</t>
  </si>
  <si>
    <t>LNRCZ7ZG</t>
  </si>
  <si>
    <t>AC438485</t>
  </si>
  <si>
    <t>مروة عبدالحفيظ غوقه</t>
  </si>
  <si>
    <t>لارا رفيق بالروين</t>
  </si>
  <si>
    <t>لمى رفيق بالروين</t>
  </si>
  <si>
    <t>محمد رفيق بالروين</t>
  </si>
  <si>
    <t>صفية السائح إشنيبو</t>
  </si>
  <si>
    <t>جود طارق الامين</t>
  </si>
  <si>
    <t>إسلام طارق الأمين</t>
  </si>
  <si>
    <t>AB790949</t>
  </si>
  <si>
    <t>AF191046</t>
  </si>
  <si>
    <t>AC229082</t>
  </si>
  <si>
    <t>AF191050</t>
  </si>
  <si>
    <t xml:space="preserve">ابن </t>
  </si>
  <si>
    <t>AC785503</t>
  </si>
  <si>
    <t>AB650352</t>
  </si>
  <si>
    <t>ميسون محمد المسلاتي</t>
  </si>
  <si>
    <t>محمد سراج الترهوني</t>
  </si>
  <si>
    <t>سجى سراج الترهوني</t>
  </si>
  <si>
    <t>يوسف سراج الترهوني</t>
  </si>
  <si>
    <t>ياسين سراج الترهوني</t>
  </si>
  <si>
    <t>H8872JCR</t>
  </si>
  <si>
    <t>ريما مصباح مختار مصباح</t>
  </si>
  <si>
    <t>محمد طه الفرجاني</t>
  </si>
  <si>
    <t>AD087142</t>
  </si>
  <si>
    <t>AB019179</t>
  </si>
  <si>
    <t>AD203524</t>
  </si>
  <si>
    <t>AB911708</t>
  </si>
  <si>
    <t>AA848200</t>
  </si>
  <si>
    <t>AB911702</t>
  </si>
  <si>
    <t>AA848100</t>
  </si>
  <si>
    <t>AD436999</t>
  </si>
  <si>
    <t>مريم مصطفى الكردي</t>
  </si>
  <si>
    <t>ريان محمد امنينة</t>
  </si>
  <si>
    <t>علي محمد امنينة</t>
  </si>
  <si>
    <t>صفاء محمد بشوش</t>
  </si>
  <si>
    <t>دانية عصام الزير</t>
  </si>
  <si>
    <t>يزيد عصام الزير</t>
  </si>
  <si>
    <t>يوسف عصام الزير</t>
  </si>
  <si>
    <t>اسيل عصام الزير</t>
  </si>
  <si>
    <t>AD051484</t>
  </si>
  <si>
    <t>AE993513</t>
  </si>
  <si>
    <t>AE993436</t>
  </si>
  <si>
    <t>AE993406</t>
  </si>
  <si>
    <t>AF024310</t>
  </si>
  <si>
    <t>AB566874</t>
  </si>
  <si>
    <t>امل رافع الرفادي</t>
  </si>
  <si>
    <t>لينة فارس البرجو</t>
  </si>
  <si>
    <t>مصطفى فارس البرجو</t>
  </si>
  <si>
    <t>AE369148</t>
  </si>
  <si>
    <t>AE300197</t>
  </si>
  <si>
    <t>AE369133</t>
  </si>
  <si>
    <t>مرام مرعي بن إسماعيل</t>
  </si>
  <si>
    <t>AD111876</t>
  </si>
  <si>
    <t>صالحة عبدالرحمن السنوسي</t>
  </si>
  <si>
    <t>K0CHR47N</t>
  </si>
  <si>
    <t>AA204403</t>
  </si>
  <si>
    <t>غدي محمود البرغثي</t>
  </si>
  <si>
    <t>AC976591</t>
  </si>
  <si>
    <t>AD684803</t>
  </si>
  <si>
    <t>RCZNR149</t>
  </si>
  <si>
    <t>AC244785</t>
  </si>
  <si>
    <t>اينور مصطفى السنوسي الكوافي</t>
  </si>
  <si>
    <t>فهد السنوسي الكزة</t>
  </si>
  <si>
    <t>كنان فهد الكزة</t>
  </si>
  <si>
    <t>كنزي فهد الكزة</t>
  </si>
  <si>
    <t xml:space="preserve">زوج </t>
  </si>
  <si>
    <t>AD591442</t>
  </si>
  <si>
    <t>AC798447</t>
  </si>
  <si>
    <t>AB667961</t>
  </si>
  <si>
    <t>AB619460</t>
  </si>
  <si>
    <t>AC500974</t>
  </si>
  <si>
    <t xml:space="preserve"> امال محمد الموهوب</t>
  </si>
  <si>
    <t>AB967872</t>
  </si>
  <si>
    <t>رقية حسين قطاط</t>
  </si>
  <si>
    <t>حسين وليد بن موسى</t>
  </si>
  <si>
    <t>محمد وليد بن موسى</t>
  </si>
  <si>
    <t>الزبير وليد بن موسى</t>
  </si>
  <si>
    <t>صهيب وليد بن موسى</t>
  </si>
  <si>
    <t>سهير وليد بن موسى</t>
  </si>
  <si>
    <t>لا يوجد</t>
  </si>
  <si>
    <t>AD053075</t>
  </si>
  <si>
    <t>AD053076</t>
  </si>
  <si>
    <t>AD062507</t>
  </si>
  <si>
    <t>AD062556</t>
  </si>
  <si>
    <t>AE185852</t>
  </si>
  <si>
    <t>AF813703</t>
  </si>
  <si>
    <t>وهيبه محمد حسن</t>
  </si>
  <si>
    <t>طارق محمد الصبيحي</t>
  </si>
  <si>
    <t>ادم محمد الصبيحي</t>
  </si>
  <si>
    <t>يوسف محمد الصبيحي</t>
  </si>
  <si>
    <t>AD518894</t>
  </si>
  <si>
    <t>AD517414</t>
  </si>
  <si>
    <t>AD517404</t>
  </si>
  <si>
    <t>FP1Z3LJL</t>
  </si>
  <si>
    <t>AC623355</t>
  </si>
  <si>
    <t>AC722965</t>
  </si>
  <si>
    <t>AB963359</t>
  </si>
  <si>
    <t>AB1011712</t>
  </si>
  <si>
    <t>AE929719</t>
  </si>
  <si>
    <t>AE929734</t>
  </si>
  <si>
    <t>AD029193</t>
  </si>
  <si>
    <t>AD029066</t>
  </si>
  <si>
    <t>AD971441</t>
  </si>
  <si>
    <t>NYFNCYY8</t>
  </si>
  <si>
    <t>AD971444</t>
  </si>
  <si>
    <t>AE498933</t>
  </si>
  <si>
    <t>AB236932</t>
  </si>
  <si>
    <t>AB096933</t>
  </si>
  <si>
    <t>R04R9RN4</t>
  </si>
  <si>
    <t>GR089277</t>
  </si>
  <si>
    <t>HLL6LRL5</t>
  </si>
  <si>
    <t>AF046851</t>
  </si>
  <si>
    <t>AB242843</t>
  </si>
  <si>
    <t>AF051337</t>
  </si>
  <si>
    <t>AB967877</t>
  </si>
  <si>
    <t>AB967878</t>
  </si>
  <si>
    <t>AB967880</t>
  </si>
  <si>
    <t>AB967873</t>
  </si>
  <si>
    <t>JZZR2J07</t>
  </si>
  <si>
    <t>AB967876</t>
  </si>
  <si>
    <t>Faez Said Hayoub</t>
  </si>
  <si>
    <t>Amina Abduhamid Shamash</t>
  </si>
  <si>
    <t>Abdulhameed Faez Hayoub</t>
  </si>
  <si>
    <t>Abdulrahman Faez Hayoub</t>
  </si>
  <si>
    <t>Loureen Faez Hayoub</t>
  </si>
  <si>
    <t>Leen Faez Hayoub</t>
  </si>
  <si>
    <t>Omar Almukhtar Muftah Boker</t>
  </si>
  <si>
    <t>Sara Abdulmawla Bader</t>
  </si>
  <si>
    <t>Rawad Omar Almukhtar Boker</t>
  </si>
  <si>
    <t>Rubeen Omar Almukhtar Boker</t>
  </si>
  <si>
    <t>Sami Omar Almukhtar Boker</t>
  </si>
  <si>
    <t>Jummah Ramadhan Alamami</t>
  </si>
  <si>
    <t>Naeimah Omar Saed</t>
  </si>
  <si>
    <t xml:space="preserve"> Ramadhan Jummah Alamami</t>
  </si>
  <si>
    <t>Abdulrahman Jummah Alamami</t>
  </si>
  <si>
    <t>Aysha Jummah Alamami</t>
  </si>
  <si>
    <t>Omar Jummah Alamami</t>
  </si>
  <si>
    <t>Salmah Jummah Alamami</t>
  </si>
  <si>
    <t>Tarek Mohamed Elmezugi</t>
  </si>
  <si>
    <t>Emad Mohamed Hamad</t>
  </si>
  <si>
    <t>Ilen Emad Hamad</t>
  </si>
  <si>
    <t>Mohammed Emad Hamad</t>
  </si>
  <si>
    <t>Yazan Emad Hamad</t>
  </si>
  <si>
    <t>Asim Emad Hamad</t>
  </si>
  <si>
    <t>خالد محي الدين حمد</t>
  </si>
  <si>
    <t>khaled M Hamad</t>
  </si>
  <si>
    <t>Rafeg Ali Balrwin</t>
  </si>
  <si>
    <t>Marwa Abdelhafid Ghawga</t>
  </si>
  <si>
    <t>Lara Rafeg Balrwin</t>
  </si>
  <si>
    <t>Lemma Rafeg Balrwin</t>
  </si>
  <si>
    <t>Mohamed Rafeg Balrwin</t>
  </si>
  <si>
    <t>Tameem Azam Addeeb</t>
  </si>
  <si>
    <t>Shada Mustafa Benmusa</t>
  </si>
  <si>
    <t>Taim Tameem Addeeb</t>
  </si>
  <si>
    <t>Bassam Tameem Addeb</t>
  </si>
  <si>
    <t>Mohammed Adrees Abdulsalam</t>
  </si>
  <si>
    <t>Faezah Mukhtar Almabrouk</t>
  </si>
  <si>
    <t>Waed Mohammed Abdulsalam</t>
  </si>
  <si>
    <t>Shahed Mohammed Abdulsalam</t>
  </si>
  <si>
    <t>Adrees Mohammed Abdulsalam</t>
  </si>
  <si>
    <t>Mohammed Adim Alsubayhay</t>
  </si>
  <si>
    <t>Wahiba Mohamed Hassan</t>
  </si>
  <si>
    <t>Tarek Mohammed Alsubayhay</t>
  </si>
  <si>
    <t>Adam Mohammed Alsubayhay</t>
  </si>
  <si>
    <t>Yousef Mohammed Alsubayhay</t>
  </si>
  <si>
    <t>Raniya Fathi Almahdi</t>
  </si>
  <si>
    <t>رانيا فتحي المهدي</t>
  </si>
  <si>
    <t>Meeloud Jalal Alhasyah</t>
  </si>
  <si>
    <t>Tariq Mohamed Lameen</t>
  </si>
  <si>
    <t>Safiyah Alsaeh Ishnaybu</t>
  </si>
  <si>
    <t>Jood Tariq Lameen</t>
  </si>
  <si>
    <t>Islam Tariq Lameen</t>
  </si>
  <si>
    <t>Muetasim Miftah Alzayani</t>
  </si>
  <si>
    <t>Siraj Hassan Tarhuni</t>
  </si>
  <si>
    <t>Maisoun Mohammed Masillati</t>
  </si>
  <si>
    <t>Mohamed Siraj Tarhuni</t>
  </si>
  <si>
    <t>Saja Siraj Tarhuni</t>
  </si>
  <si>
    <t>Youssuf Siraj Tarhuni</t>
  </si>
  <si>
    <t>Yassen Siraj Tarhuni</t>
  </si>
  <si>
    <t>Taha Mohamed Alfurjani</t>
  </si>
  <si>
    <t>Reema Misbah Mukhtar Misbah</t>
  </si>
  <si>
    <t>Mohammed Taha Alfurjani</t>
  </si>
  <si>
    <t>Aseel Adel Qsibat</t>
  </si>
  <si>
    <t>Omar Salah Aemourah</t>
  </si>
  <si>
    <t>Mohammed Mustafa Elmissalati</t>
  </si>
  <si>
    <t>Feras Omer Hussain</t>
  </si>
  <si>
    <t>Mohamed Ali Emnaina</t>
  </si>
  <si>
    <t>Maryam Mustafa Alkurdi</t>
  </si>
  <si>
    <t>Rayan Mohamed Emnaina</t>
  </si>
  <si>
    <t>Ali Mohamed Emnaina</t>
  </si>
  <si>
    <t>Isam Khamis Alzeer</t>
  </si>
  <si>
    <t>Safa Mohammed Bashoush</t>
  </si>
  <si>
    <t>Yousuf Isam Alzeer</t>
  </si>
  <si>
    <t>Yazed Isam Alzeer</t>
  </si>
  <si>
    <t>Daniya Isam Alzeer</t>
  </si>
  <si>
    <t>Aseel Isam Alzeer</t>
  </si>
  <si>
    <t>Faris Mustafa Elburjo</t>
  </si>
  <si>
    <t>Amal Rafia Alrafadi</t>
  </si>
  <si>
    <t>Leenah Faris Elburjo</t>
  </si>
  <si>
    <t>Mustafa Faris Elburjo</t>
  </si>
  <si>
    <t>Anas Salah Sultan</t>
  </si>
  <si>
    <t>Maram Mare Bin Ismaeil</t>
  </si>
  <si>
    <t>Mohamed Farag Almohob</t>
  </si>
  <si>
    <t>Salha Abdulrahman Alsunousi</t>
  </si>
  <si>
    <t>Amaal Mohamed Almohob</t>
  </si>
  <si>
    <t>Hamed Gebril Elasmaa</t>
  </si>
  <si>
    <t>Ghadi Mahmoud Albarghathi</t>
  </si>
  <si>
    <t>Riham Mohammed Alabani</t>
  </si>
  <si>
    <t>Eman Ali Elgheryani</t>
  </si>
  <si>
    <t>Anas Ramadan Baayou</t>
  </si>
  <si>
    <t>Ainoor Mustafa Elsanusi Elkwafi</t>
  </si>
  <si>
    <t>Fahed Elsenussi Elkezza</t>
  </si>
  <si>
    <t>Kenan Fahed Elkezza</t>
  </si>
  <si>
    <t>Kenzi Fahed Elkezza</t>
  </si>
  <si>
    <t>Waleed Mohammed Binmousa</t>
  </si>
  <si>
    <t>Ruqayah Husayn Qatat</t>
  </si>
  <si>
    <t>Husayn Waleed Binmousa</t>
  </si>
  <si>
    <t>Mohammed Waleed Binmousa</t>
  </si>
  <si>
    <t>Alzubayr Waleed Binmousa</t>
  </si>
  <si>
    <t>Sohaib Waleed Binmousa</t>
  </si>
  <si>
    <t>Suheer Waleed Binmousa</t>
  </si>
  <si>
    <t>Amira Ibrahim Sharraf</t>
  </si>
  <si>
    <t>AD971415</t>
  </si>
  <si>
    <t>محمد فتحي جاد الله</t>
  </si>
  <si>
    <t>Mohammed Fathi Jadullah</t>
  </si>
  <si>
    <t>AE566667</t>
  </si>
  <si>
    <t>عبدالخالق حسن بن عاشور</t>
  </si>
  <si>
    <t>AB112723</t>
  </si>
  <si>
    <t>Abdulkalek Hassen Ben Ashuor</t>
  </si>
  <si>
    <t>عواطف مفتاح الزائدي</t>
  </si>
  <si>
    <t>AB112709</t>
  </si>
  <si>
    <t>Awatef Muftah Ezzaidi</t>
  </si>
  <si>
    <t>Rafeef Abdulkalek Ben Ashuor</t>
  </si>
  <si>
    <t>AB112714</t>
  </si>
  <si>
    <t>رفيف عبدالخالق بن عاشور</t>
  </si>
  <si>
    <t>اسيل عبدالخالق بن عاشور</t>
  </si>
  <si>
    <t>تميم عبدالخالق بن عاشور</t>
  </si>
  <si>
    <t>AB109551</t>
  </si>
  <si>
    <t>AB112729</t>
  </si>
  <si>
    <t>Aseel Abdulkalek Ben Ashuor</t>
  </si>
  <si>
    <t>Tameem Abdulkalek Ben Ashuor</t>
  </si>
  <si>
    <t>Adel Bashire Abufaress</t>
  </si>
  <si>
    <t>عادل بشير ابوفارس</t>
  </si>
  <si>
    <t>AE320503</t>
  </si>
  <si>
    <t>Nagla Mohamed Mahfoud</t>
  </si>
  <si>
    <t>AE320580</t>
  </si>
  <si>
    <t>Mirihan Adel Abufaress</t>
  </si>
  <si>
    <t>AE316904</t>
  </si>
  <si>
    <t>Alma Adel Abufaress</t>
  </si>
  <si>
    <t>AE316583</t>
  </si>
  <si>
    <t>AE320579</t>
  </si>
  <si>
    <t>Aleen Adel Abufaress</t>
  </si>
  <si>
    <t>Mohamed  Adel Abufaress</t>
  </si>
  <si>
    <t>AE316581</t>
  </si>
  <si>
    <t>نجلاء محمد محفوظ</t>
  </si>
  <si>
    <t>ميريهان عادل ابوفارس</t>
  </si>
  <si>
    <t>الما عادل ابوفارس</t>
  </si>
  <si>
    <t>الين عادل ابوفارس</t>
  </si>
  <si>
    <t>محمد عادل ابوفارس</t>
  </si>
  <si>
    <t>معاذ عادل ابوفارس</t>
  </si>
  <si>
    <t>Moad Adel Abufaress</t>
  </si>
  <si>
    <t>SN</t>
  </si>
  <si>
    <t>Employee Name</t>
  </si>
  <si>
    <t>Employee Name EN</t>
  </si>
  <si>
    <t>EMP_No</t>
  </si>
  <si>
    <t>NIC</t>
  </si>
  <si>
    <t>PPNO</t>
  </si>
  <si>
    <t>Status</t>
  </si>
  <si>
    <t>DOB</t>
  </si>
  <si>
    <t>Insurance Profile</t>
  </si>
  <si>
    <t>Printed</t>
  </si>
  <si>
    <t>Pdate</t>
  </si>
  <si>
    <t>O3G20250001</t>
  </si>
  <si>
    <t>O3G20250002</t>
  </si>
  <si>
    <t>O3G20250003</t>
  </si>
  <si>
    <t>O3G20250004</t>
  </si>
  <si>
    <t>O3G20250005</t>
  </si>
  <si>
    <t>O3G20250006</t>
  </si>
  <si>
    <t>O3G20250007</t>
  </si>
  <si>
    <t>O3G20250008</t>
  </si>
  <si>
    <t>O3G20250009</t>
  </si>
  <si>
    <t>O3G20250010</t>
  </si>
  <si>
    <t>O3G20250011</t>
  </si>
  <si>
    <t>O3G20250012</t>
  </si>
  <si>
    <t>O3G20250013</t>
  </si>
  <si>
    <t>O3G20250014</t>
  </si>
  <si>
    <t>O3G20250015</t>
  </si>
  <si>
    <t>O3G20250016</t>
  </si>
  <si>
    <t>O3G20250017</t>
  </si>
  <si>
    <t>O3G20250018</t>
  </si>
  <si>
    <t>O3G20250019</t>
  </si>
  <si>
    <t>O3G20250020</t>
  </si>
  <si>
    <t>O3G20250021</t>
  </si>
  <si>
    <t>O3G20250022</t>
  </si>
  <si>
    <t>O3G20250023</t>
  </si>
  <si>
    <t>O3G20250024</t>
  </si>
  <si>
    <t>O3G20250025</t>
  </si>
  <si>
    <t>O3G20250026</t>
  </si>
  <si>
    <t>O3G20250027</t>
  </si>
  <si>
    <t>O3G20250028</t>
  </si>
  <si>
    <t>O3G20250029</t>
  </si>
  <si>
    <t>O3G20250030</t>
  </si>
  <si>
    <t>O3G20250031</t>
  </si>
  <si>
    <t>O3G20250032</t>
  </si>
  <si>
    <t>Main Profile</t>
  </si>
  <si>
    <t>O3G20250030H1</t>
  </si>
  <si>
    <t>O3G20250030S1</t>
  </si>
  <si>
    <t>O3G20250030S2</t>
  </si>
  <si>
    <t>O3G20250030S3</t>
  </si>
  <si>
    <t>O3G20250030S4</t>
  </si>
  <si>
    <t>O3G20250030D1</t>
  </si>
  <si>
    <t>O3G20250032S1</t>
  </si>
  <si>
    <t>O3G20250032S2</t>
  </si>
  <si>
    <t>07-01-2026</t>
  </si>
  <si>
    <t>1</t>
  </si>
  <si>
    <t>2</t>
  </si>
  <si>
    <t>تعديل الى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</si>
</sst>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Sakkal Majalla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Sakkal Majalla"/>
    </font>
    <font>
      <sz val="11"/>
      <color rgb="FF000000"/>
      <name val="Sakkal Majalla"/>
    </font>
    <font>
      <b/>
      <sz val="12"/>
      <color rgb="FFFFFFFF"/>
      <name val="Sakkal Majalla"/>
    </font>
    <font>
      <sz val="11"/>
      <color rgb="FFC00000"/>
      <name val="Calibri"/>
      <family val="2"/>
    </font>
    <font>
      <sz val="11"/>
      <name val="Calibri"/>
      <family val="2"/>
    </font>
    <font>
      <b/>
      <sz val="11"/>
      <color theme="1"/>
      <name val="Sakkal Majalla"/>
    </font>
    <font>
      <b/>
      <sz val="10"/>
      <color theme="1"/>
      <name val="Sakkal Majalla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 readingOrder="2"/>
    </xf>
    <xf numFmtId="0" fontId="2" fillId="3" borderId="6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 readingOrder="2"/>
    </xf>
    <xf numFmtId="0" fontId="5" fillId="3" borderId="8" xfId="0" applyFont="1" applyFill="1" applyBorder="1" applyAlignment="1">
      <alignment horizontal="center" vertical="center" wrapText="1" readingOrder="2"/>
    </xf>
    <xf numFmtId="0" fontId="5" fillId="3" borderId="4" xfId="0" applyFont="1" applyFill="1" applyBorder="1" applyAlignment="1">
      <alignment horizontal="center" vertical="center" wrapText="1" readingOrder="2"/>
    </xf>
    <xf numFmtId="0" fontId="5" fillId="3" borderId="7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" fontId="1" fillId="3" borderId="9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/>
    </xf>
    <xf numFmtId="1" fontId="1" fillId="3" borderId="10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 readingOrder="2"/>
    </xf>
    <xf numFmtId="0" fontId="5" fillId="3" borderId="9" xfId="0" applyFont="1" applyFill="1" applyBorder="1" applyAlignment="1">
      <alignment horizontal="center" vertical="center" wrapText="1" readingOrder="2"/>
    </xf>
    <xf numFmtId="0" fontId="5" fillId="3" borderId="10" xfId="0" applyFont="1" applyFill="1" applyBorder="1" applyAlignment="1">
      <alignment horizontal="center" vertical="center" wrapText="1" readingOrder="2"/>
    </xf>
    <xf numFmtId="0" fontId="1" fillId="4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8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 readingOrder="2"/>
    </xf>
    <xf numFmtId="1" fontId="1" fillId="4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 readingOrder="2"/>
    </xf>
    <xf numFmtId="0" fontId="0" fillId="0" borderId="9" xfId="0" applyBorder="1" applyAlignment="1">
      <alignment horizontal="center"/>
    </xf>
    <xf numFmtId="0" fontId="8" fillId="4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1" fontId="1" fillId="4" borderId="10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 wrapText="1" readingOrder="2"/>
    </xf>
    <xf numFmtId="0" fontId="0" fillId="4" borderId="0" xfId="0" applyFill="1"/>
    <xf numFmtId="0" fontId="2" fillId="3" borderId="3" xfId="0" applyFont="1" applyFill="1" applyBorder="1" applyAlignment="1">
      <alignment horizontal="center" vertical="center" readingOrder="2"/>
    </xf>
    <xf numFmtId="0" fontId="2" fillId="3" borderId="13" xfId="0" applyFont="1" applyFill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 readingOrder="2"/>
    </xf>
    <xf numFmtId="0" fontId="2" fillId="4" borderId="3" xfId="0" applyFont="1" applyFill="1" applyBorder="1" applyAlignment="1">
      <alignment horizontal="center" vertical="center" readingOrder="2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7" fillId="2" borderId="1" xfId="0" applyFont="1" applyFill="1" applyBorder="1" applyAlignment="1">
      <alignment vertical="center" wrapText="1" readingOrder="2"/>
    </xf>
    <xf numFmtId="0" fontId="7" fillId="2" borderId="1" xfId="0" applyFont="1" applyFill="1" applyBorder="1" applyAlignment="1">
      <alignment vertical="center" readingOrder="2"/>
    </xf>
    <xf numFmtId="0" fontId="7" fillId="2" borderId="5" xfId="0" applyFont="1" applyFill="1" applyBorder="1" applyAlignment="1">
      <alignment vertical="center" wrapText="1" readingOrder="2"/>
    </xf>
    <xf numFmtId="0" fontId="7" fillId="2" borderId="22" xfId="0" applyFont="1" applyFill="1" applyBorder="1" applyAlignment="1">
      <alignment vertical="center" wrapText="1" readingOrder="2"/>
    </xf>
    <xf numFmtId="0" fontId="12" fillId="0" borderId="0" xfId="0" applyFont="1" applyAlignment="1">
      <alignment readingOrder="1"/>
    </xf>
    <xf numFmtId="0" fontId="12" fillId="0" borderId="0" xfId="0" applyFont="1"/>
    <xf numFmtId="0" fontId="2" fillId="5" borderId="3" xfId="0" applyFont="1" applyFill="1" applyBorder="1" applyAlignment="1">
      <alignment horizontal="center" vertical="center" readingOrder="2"/>
    </xf>
    <xf numFmtId="0" fontId="0" fillId="5" borderId="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2" fillId="5" borderId="0" xfId="0" applyFont="1" applyFill="1"/>
    <xf numFmtId="0" fontId="0" fillId="5" borderId="0" xfId="0" applyFill="1"/>
    <xf numFmtId="0" fontId="2" fillId="5" borderId="18" xfId="0" applyFont="1" applyFill="1" applyBorder="1" applyAlignment="1">
      <alignment horizontal="center" vertical="center" readingOrder="2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1" fontId="0" fillId="5" borderId="19" xfId="0" applyNumberForma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 readingOrder="2"/>
    </xf>
    <xf numFmtId="0" fontId="1" fillId="5" borderId="4" xfId="0" applyFont="1" applyFill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 readingOrder="2"/>
    </xf>
    <xf numFmtId="0" fontId="12" fillId="5" borderId="0" xfId="0" applyFont="1" applyFill="1" applyAlignment="1">
      <alignment readingOrder="1"/>
    </xf>
    <xf numFmtId="1" fontId="1" fillId="5" borderId="6" xfId="0" applyNumberFormat="1" applyFont="1" applyFill="1" applyBorder="1" applyAlignment="1">
      <alignment horizontal="center"/>
    </xf>
    <xf numFmtId="1" fontId="1" fillId="5" borderId="8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 readingOrder="2"/>
    </xf>
    <xf numFmtId="0" fontId="3" fillId="5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 wrapText="1" readingOrder="2"/>
    </xf>
    <xf numFmtId="0" fontId="8" fillId="5" borderId="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vertical="center" wrapText="1" readingOrder="2"/>
    </xf>
    <xf numFmtId="164" fontId="1" fillId="3" borderId="12" xfId="0" applyNumberFormat="1" applyFont="1" applyFill="1" applyBorder="1" applyAlignment="1">
      <alignment horizontal="center"/>
    </xf>
    <xf numFmtId="164" fontId="1" fillId="3" borderId="14" xfId="0" applyNumberFormat="1" applyFont="1" applyFill="1" applyBorder="1" applyAlignment="1">
      <alignment horizontal="center"/>
    </xf>
    <xf numFmtId="164" fontId="1" fillId="4" borderId="11" xfId="0" applyNumberFormat="1" applyFont="1" applyFill="1" applyBorder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164" fontId="1" fillId="4" borderId="14" xfId="0" applyNumberFormat="1" applyFont="1" applyFill="1" applyBorder="1" applyAlignment="1">
      <alignment horizontal="center"/>
    </xf>
    <xf numFmtId="164" fontId="1" fillId="4" borderId="15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1" fillId="5" borderId="14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164" fontId="1" fillId="5" borderId="15" xfId="0" applyNumberFormat="1" applyFont="1" applyFill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164" fontId="0" fillId="5" borderId="2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6" borderId="3" xfId="0" applyFont="1" applyFill="1" applyBorder="1" applyAlignment="1">
      <alignment horizontal="center" vertical="center" readingOrder="2"/>
    </xf>
    <xf numFmtId="0" fontId="3" fillId="6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/>
    </xf>
    <xf numFmtId="1" fontId="1" fillId="6" borderId="10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 wrapText="1" readingOrder="2"/>
    </xf>
    <xf numFmtId="164" fontId="1" fillId="6" borderId="15" xfId="0" applyNumberFormat="1" applyFont="1" applyFill="1" applyBorder="1" applyAlignment="1">
      <alignment horizontal="center"/>
    </xf>
    <xf numFmtId="0" fontId="0" fillId="6" borderId="0" xfId="0" applyFill="1"/>
    <xf numFmtId="0" fontId="3" fillId="6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1" fontId="1" fillId="6" borderId="8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 vertical="center" wrapText="1" readingOrder="2"/>
    </xf>
    <xf numFmtId="0" fontId="5" fillId="6" borderId="8" xfId="0" applyFont="1" applyFill="1" applyBorder="1" applyAlignment="1">
      <alignment horizontal="center" vertical="center" wrapText="1" readingOrder="2"/>
    </xf>
    <xf numFmtId="164" fontId="1" fillId="6" borderId="11" xfId="0" applyNumberFormat="1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1" fontId="1" fillId="6" borderId="4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wrapText="1" readingOrder="2"/>
    </xf>
    <xf numFmtId="164" fontId="1" fillId="6" borderId="12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1" fontId="1" fillId="6" borderId="6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 vertical="center" wrapText="1" readingOrder="2"/>
    </xf>
    <xf numFmtId="164" fontId="1" fillId="6" borderId="14" xfId="0" applyNumberFormat="1" applyFont="1" applyFill="1" applyBorder="1" applyAlignment="1">
      <alignment horizontal="center"/>
    </xf>
    <xf numFmtId="1" fontId="8" fillId="6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 readingOrder="2"/>
    </xf>
    <xf numFmtId="0" fontId="2" fillId="6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N114"/>
  <sheetViews>
    <sheetView tabSelected="1" topLeftCell="A19" zoomScale="85" zoomScaleNormal="85" workbookViewId="0">
      <selection activeCell="N28" sqref="N28"/>
    </sheetView>
  </sheetViews>
  <sheetFormatPr defaultColWidth="15.5703125" defaultRowHeight="20.25" customHeight="1" x14ac:dyDescent="0.25"/>
  <cols>
    <col min="1" max="1" width="7.85546875" customWidth="1"/>
    <col min="2" max="2" width="21.28515625" bestFit="1" customWidth="1"/>
    <col min="3" max="3" width="29.42578125" customWidth="1"/>
    <col min="4" max="4" width="15.5703125" hidden="1" customWidth="1"/>
    <col min="5" max="6" width="0" style="5" hidden="1" customWidth="1"/>
    <col min="7" max="7" width="6.85546875" bestFit="1" customWidth="1"/>
    <col min="8" max="8" width="5" bestFit="1" customWidth="1"/>
    <col min="9" max="9" width="10.85546875" style="130" bestFit="1" customWidth="1"/>
    <col min="10" max="10" width="13.7109375" bestFit="1" customWidth="1"/>
    <col min="11" max="11" width="16.42578125" bestFit="1" customWidth="1"/>
    <col min="12" max="12" width="10.85546875" bestFit="1" customWidth="1"/>
    <col min="13" max="13" width="5.5703125" bestFit="1" customWidth="1"/>
  </cols>
  <sheetData>
    <row r="1" spans="1:13" ht="20.25" customHeight="1" x14ac:dyDescent="0.25">
      <c r="A1" s="73" t="s">
        <v>336</v>
      </c>
      <c r="B1" s="73" t="s">
        <v>337</v>
      </c>
      <c r="C1" s="73" t="s">
        <v>338</v>
      </c>
      <c r="D1" s="73" t="s">
        <v>339</v>
      </c>
      <c r="E1" s="73" t="s">
        <v>340</v>
      </c>
      <c r="F1" s="73" t="s">
        <v>341</v>
      </c>
      <c r="G1" s="72" t="s">
        <v>342</v>
      </c>
      <c r="H1" s="72" t="s">
        <v>0</v>
      </c>
      <c r="I1" s="110" t="s">
        <v>343</v>
      </c>
      <c r="J1" s="74" t="s">
        <v>379</v>
      </c>
      <c r="K1" s="74" t="s">
        <v>344</v>
      </c>
      <c r="L1" s="74" t="s">
        <v>346</v>
      </c>
      <c r="M1" s="75" t="s">
        <v>345</v>
      </c>
    </row>
    <row r="2" spans="1:13" ht="20.25" customHeight="1" x14ac:dyDescent="0.25">
      <c r="A2" s="57">
        <v>1</v>
      </c>
      <c r="B2" s="1" t="s">
        <v>1</v>
      </c>
      <c r="C2" s="1" t="s">
        <v>195</v>
      </c>
      <c r="D2" s="18" t="s">
        <v>154</v>
      </c>
      <c r="E2" s="6">
        <v>119840574382</v>
      </c>
      <c r="F2" s="4" t="s">
        <v>33</v>
      </c>
      <c r="G2" s="2" t="s">
        <v>30</v>
      </c>
      <c r="H2" s="2" t="s">
        <v>31</v>
      </c>
      <c r="I2" s="111">
        <v>30843</v>
      </c>
      <c r="J2" t="s">
        <v>347</v>
      </c>
      <c r="K2" t="str">
        <f>_xlfn.LET(
_xlpm.policy,$J2,
_xlpm.st,TRIM($G2),
_xlpm.code,
IF(OR(_xlpm.st="الموظف",_xlpm.st="موظفة",_xlpm.st="موظف"),"",
IFERROR(
CHOOSE(MATCH(_xlpm.st,{"زوجة","زوج","ابن","ابنة","اب","ام"},0),
"W","H","S","D","F","M"),
""
)),
_xlpm.serial,
IF(_xlpm.code="","",
1+COUNTIFS($J$2:J2,_xlpm.policy,$G$2:G2,_xlpm.st)-1
),
_xlpm.policy &amp; _xlpm.code &amp; _xlpm.serial
)</f>
        <v>O3G20250001</v>
      </c>
      <c r="L2" s="71" t="s">
        <v>388</v>
      </c>
      <c r="M2" s="71" t="s">
        <v>389</v>
      </c>
    </row>
    <row r="3" spans="1:13" ht="20.25" customHeight="1" x14ac:dyDescent="0.25">
      <c r="A3" s="57">
        <f>A2+1</f>
        <v>2</v>
      </c>
      <c r="B3" s="8" t="s">
        <v>28</v>
      </c>
      <c r="C3" s="8" t="s">
        <v>196</v>
      </c>
      <c r="D3" s="18" t="s">
        <v>154</v>
      </c>
      <c r="E3" s="6">
        <v>219870019946</v>
      </c>
      <c r="F3" s="41" t="s">
        <v>155</v>
      </c>
      <c r="G3" s="2" t="s">
        <v>29</v>
      </c>
      <c r="H3" s="2" t="s">
        <v>32</v>
      </c>
      <c r="I3" s="111">
        <v>31977</v>
      </c>
      <c r="J3" t="s">
        <v>347</v>
      </c>
      <c r="K3" t="str">
        <f>_xlfn.LET(
_xlpm.policy,$J3,
_xlpm.st,TRIM($G3),
_xlpm.code,
IF(OR(_xlpm.st="الموظف",_xlpm.st="موظفة",_xlpm.st="موظف"),"",
IFERROR(
CHOOSE(MATCH(_xlpm.st,{"زوجة","زوج","ابن","ابنة","اب","ام"},0),
"W","H","S","D","F","M"),
""
)),
_xlpm.serial,
IF(_xlpm.code="","",
1+COUNTIFS($J$2:J3,_xlpm.policy,$G$2:G3,_xlpm.st)-1
),
_xlpm.policy &amp; _xlpm.code &amp; _xlpm.serial
)</f>
        <v>O3G20250001W1</v>
      </c>
      <c r="L3" s="71" t="s">
        <v>388</v>
      </c>
      <c r="M3" s="71" t="s">
        <v>389</v>
      </c>
    </row>
    <row r="4" spans="1:13" ht="20.25" customHeight="1" x14ac:dyDescent="0.25">
      <c r="A4" s="57">
        <f t="shared" ref="A4:A65" si="0">A3+1</f>
        <v>3</v>
      </c>
      <c r="B4" s="8" t="s">
        <v>34</v>
      </c>
      <c r="C4" s="8" t="s">
        <v>198</v>
      </c>
      <c r="D4" s="18" t="s">
        <v>154</v>
      </c>
      <c r="E4" s="6">
        <v>120131169813</v>
      </c>
      <c r="F4" s="41" t="s">
        <v>158</v>
      </c>
      <c r="G4" s="2" t="s">
        <v>38</v>
      </c>
      <c r="H4" s="2" t="s">
        <v>31</v>
      </c>
      <c r="I4" s="111">
        <v>41413</v>
      </c>
      <c r="J4" t="s">
        <v>347</v>
      </c>
      <c r="K4" t="str">
        <f>_xlfn.LET(
_xlpm.policy,$J4,
_xlpm.st,TRIM($G4),
_xlpm.code,
IF(OR(_xlpm.st="الموظف",_xlpm.st="موظفة",_xlpm.st="موظف"),"",
IFERROR(
CHOOSE(MATCH(_xlpm.st,{"زوجة","زوج","ابن","ابنة","اب","ام"},0),
"W","H","S","D","F","M"),
""
)),
_xlpm.serial,
IF(_xlpm.code="","",
1+COUNTIFS($J$2:J4,_xlpm.policy,$G$2:G4,_xlpm.st)-1
),
_xlpm.policy &amp; _xlpm.code &amp; _xlpm.serial
)</f>
        <v>O3G20250001S1</v>
      </c>
      <c r="L4" s="71" t="s">
        <v>388</v>
      </c>
      <c r="M4" s="71" t="s">
        <v>389</v>
      </c>
    </row>
    <row r="5" spans="1:13" ht="20.25" customHeight="1" x14ac:dyDescent="0.25">
      <c r="A5" s="57">
        <f t="shared" si="0"/>
        <v>4</v>
      </c>
      <c r="B5" s="8" t="s">
        <v>35</v>
      </c>
      <c r="C5" s="8" t="s">
        <v>197</v>
      </c>
      <c r="D5" s="18" t="s">
        <v>154</v>
      </c>
      <c r="E5" s="6">
        <v>120150966176</v>
      </c>
      <c r="F5" s="41" t="s">
        <v>157</v>
      </c>
      <c r="G5" s="2" t="s">
        <v>38</v>
      </c>
      <c r="H5" s="2" t="s">
        <v>31</v>
      </c>
      <c r="I5" s="111">
        <v>42073</v>
      </c>
      <c r="J5" t="s">
        <v>347</v>
      </c>
      <c r="K5" t="str">
        <f>_xlfn.LET(
_xlpm.policy,$J5,
_xlpm.st,TRIM($G5),
_xlpm.code,
IF(OR(_xlpm.st="الموظف",_xlpm.st="موظفة",_xlpm.st="موظف"),"",
IFERROR(
CHOOSE(MATCH(_xlpm.st,{"زوجة","زوج","ابن","ابنة","اب","ام"},0),
"W","H","S","D","F","M"),
""
)),
_xlpm.serial,
IF(_xlpm.code="","",
1+COUNTIFS($J$2:J5,_xlpm.policy,$G$2:G5,_xlpm.st)-1
),
_xlpm.policy &amp; _xlpm.code &amp; _xlpm.serial
)</f>
        <v>O3G20250001S2</v>
      </c>
      <c r="L5" s="71" t="s">
        <v>388</v>
      </c>
      <c r="M5" s="71" t="s">
        <v>389</v>
      </c>
    </row>
    <row r="6" spans="1:13" ht="20.25" customHeight="1" x14ac:dyDescent="0.25">
      <c r="A6" s="57">
        <f t="shared" si="0"/>
        <v>5</v>
      </c>
      <c r="B6" s="8" t="s">
        <v>36</v>
      </c>
      <c r="C6" s="8" t="s">
        <v>199</v>
      </c>
      <c r="D6" s="18" t="s">
        <v>154</v>
      </c>
      <c r="E6" s="6">
        <v>220220965408</v>
      </c>
      <c r="F6" s="41" t="s">
        <v>156</v>
      </c>
      <c r="G6" s="2" t="s">
        <v>39</v>
      </c>
      <c r="H6" s="2" t="s">
        <v>32</v>
      </c>
      <c r="I6" s="111">
        <v>44842</v>
      </c>
      <c r="J6" t="s">
        <v>347</v>
      </c>
      <c r="K6" t="str">
        <f>_xlfn.LET(
_xlpm.policy,$J6,
_xlpm.st,TRIM($G6),
_xlpm.code,
IF(OR(_xlpm.st="الموظف",_xlpm.st="موظفة",_xlpm.st="موظف"),"",
IFERROR(
CHOOSE(MATCH(_xlpm.st,{"زوجة","زوج","ابن","ابنة","اب","ام"},0),
"W","H","S","D","F","M"),
""
)),
_xlpm.serial,
IF(_xlpm.code="","",
1+COUNTIFS($J$2:J6,_xlpm.policy,$G$2:G6,_xlpm.st)-1
),
_xlpm.policy &amp; _xlpm.code &amp; _xlpm.serial
)</f>
        <v>O3G20250001D1</v>
      </c>
      <c r="L6" s="71" t="s">
        <v>388</v>
      </c>
      <c r="M6" s="71" t="s">
        <v>389</v>
      </c>
    </row>
    <row r="7" spans="1:13" ht="20.25" customHeight="1" thickBot="1" x14ac:dyDescent="0.3">
      <c r="A7" s="58">
        <f t="shared" si="0"/>
        <v>6</v>
      </c>
      <c r="B7" s="9" t="s">
        <v>37</v>
      </c>
      <c r="C7" s="9" t="s">
        <v>200</v>
      </c>
      <c r="D7" s="19" t="s">
        <v>154</v>
      </c>
      <c r="E7" s="7">
        <v>220231084286</v>
      </c>
      <c r="F7" s="42" t="s">
        <v>159</v>
      </c>
      <c r="G7" s="3" t="s">
        <v>39</v>
      </c>
      <c r="H7" s="3" t="s">
        <v>32</v>
      </c>
      <c r="I7" s="112">
        <v>45212</v>
      </c>
      <c r="J7" t="s">
        <v>347</v>
      </c>
      <c r="K7" t="str">
        <f>_xlfn.LET(
_xlpm.policy,$J7,
_xlpm.st,TRIM($G7),
_xlpm.code,
IF(OR(_xlpm.st="الموظف",_xlpm.st="موظفة",_xlpm.st="موظف"),"",
IFERROR(
CHOOSE(MATCH(_xlpm.st,{"زوجة","زوج","ابن","ابنة","اب","ام"},0),
"W","H","S","D","F","M"),
""
)),
_xlpm.serial,
IF(_xlpm.code="","",
1+COUNTIFS($J$2:J7,_xlpm.policy,$G$2:G7,_xlpm.st)-1
),
_xlpm.policy &amp; _xlpm.code &amp; _xlpm.serial
)</f>
        <v>O3G20250001D2</v>
      </c>
      <c r="L7" s="71" t="s">
        <v>388</v>
      </c>
      <c r="M7" s="71" t="s">
        <v>389</v>
      </c>
    </row>
    <row r="8" spans="1:13" ht="20.25" customHeight="1" thickTop="1" x14ac:dyDescent="0.25">
      <c r="A8" s="59">
        <f t="shared" si="0"/>
        <v>7</v>
      </c>
      <c r="B8" s="11" t="s">
        <v>2</v>
      </c>
      <c r="C8" s="11" t="s">
        <v>201</v>
      </c>
      <c r="D8" s="20" t="s">
        <v>154</v>
      </c>
      <c r="E8" s="43">
        <v>119810485887</v>
      </c>
      <c r="F8" s="13" t="s">
        <v>51</v>
      </c>
      <c r="G8" s="28" t="s">
        <v>30</v>
      </c>
      <c r="H8" s="15" t="s">
        <v>31</v>
      </c>
      <c r="I8" s="113">
        <v>29950</v>
      </c>
      <c r="J8" t="s">
        <v>348</v>
      </c>
      <c r="K8" t="str">
        <f>_xlfn.LET(
_xlpm.policy,$J8,
_xlpm.st,TRIM($G8),
_xlpm.code,
IF(OR(_xlpm.st="الموظف",_xlpm.st="موظفة",_xlpm.st="موظف"),"",
IFERROR(
CHOOSE(MATCH(_xlpm.st,{"زوجة","زوج","ابن","ابنة","اب","ام"},0),
"W","H","S","D","F","M"),
""
)),
_xlpm.serial,
IF(_xlpm.code="","",
1+COUNTIFS($J$2:J8,_xlpm.policy,$G$2:G8,_xlpm.st)-1
),
_xlpm.policy &amp; _xlpm.code &amp; _xlpm.serial
)</f>
        <v>O3G20250002</v>
      </c>
      <c r="L8" s="71" t="s">
        <v>388</v>
      </c>
      <c r="M8" s="71" t="s">
        <v>389</v>
      </c>
    </row>
    <row r="9" spans="1:13" ht="20.25" customHeight="1" x14ac:dyDescent="0.25">
      <c r="A9" s="57">
        <f t="shared" si="0"/>
        <v>8</v>
      </c>
      <c r="B9" s="8" t="s">
        <v>40</v>
      </c>
      <c r="C9" s="8" t="s">
        <v>202</v>
      </c>
      <c r="D9" s="18" t="s">
        <v>154</v>
      </c>
      <c r="E9" s="45">
        <v>219870407307</v>
      </c>
      <c r="F9" s="41" t="s">
        <v>184</v>
      </c>
      <c r="G9" s="2" t="s">
        <v>29</v>
      </c>
      <c r="H9" s="16" t="s">
        <v>32</v>
      </c>
      <c r="I9" s="114">
        <v>32065</v>
      </c>
      <c r="J9" t="s">
        <v>348</v>
      </c>
      <c r="K9" t="str">
        <f>_xlfn.LET(
_xlpm.policy,$J9,
_xlpm.st,TRIM($G9),
_xlpm.code,
IF(OR(_xlpm.st="الموظف",_xlpm.st="موظفة",_xlpm.st="موظف"),"",
IFERROR(
CHOOSE(MATCH(_xlpm.st,{"زوجة","زوج","ابن","ابنة","اب","ام"},0),
"W","H","S","D","F","M"),
""
)),
_xlpm.serial,
IF(_xlpm.code="","",
1+COUNTIFS($J$2:J9,_xlpm.policy,$G$2:G9,_xlpm.st)-1
),
_xlpm.policy &amp; _xlpm.code &amp; _xlpm.serial
)</f>
        <v>O3G20250002W1</v>
      </c>
      <c r="L9" s="71" t="s">
        <v>388</v>
      </c>
      <c r="M9" s="71" t="s">
        <v>389</v>
      </c>
    </row>
    <row r="10" spans="1:13" ht="20.25" customHeight="1" x14ac:dyDescent="0.25">
      <c r="A10" s="57">
        <f t="shared" si="0"/>
        <v>9</v>
      </c>
      <c r="B10" s="8" t="s">
        <v>41</v>
      </c>
      <c r="C10" s="8" t="s">
        <v>203</v>
      </c>
      <c r="D10" s="18" t="s">
        <v>154</v>
      </c>
      <c r="E10" s="45">
        <v>120100365976</v>
      </c>
      <c r="F10" s="41" t="s">
        <v>185</v>
      </c>
      <c r="G10" s="2" t="s">
        <v>38</v>
      </c>
      <c r="H10" s="2" t="s">
        <v>31</v>
      </c>
      <c r="I10" s="114">
        <v>40340</v>
      </c>
      <c r="J10" t="s">
        <v>348</v>
      </c>
      <c r="K10" t="str">
        <f>_xlfn.LET(
_xlpm.policy,$J10,
_xlpm.st,TRIM($G10),
_xlpm.code,
IF(OR(_xlpm.st="الموظف",_xlpm.st="موظفة",_xlpm.st="موظف"),"",
IFERROR(
CHOOSE(MATCH(_xlpm.st,{"زوجة","زوج","ابن","ابنة","اب","ام"},0),
"W","H","S","D","F","M"),
""
)),
_xlpm.serial,
IF(_xlpm.code="","",
1+COUNTIFS($J$2:J10,_xlpm.policy,$G$2:G10,_xlpm.st)-1
),
_xlpm.policy &amp; _xlpm.code &amp; _xlpm.serial
)</f>
        <v>O3G20250002S1</v>
      </c>
      <c r="L10" s="71" t="s">
        <v>388</v>
      </c>
      <c r="M10" s="71" t="s">
        <v>389</v>
      </c>
    </row>
    <row r="11" spans="1:13" ht="20.25" customHeight="1" x14ac:dyDescent="0.25">
      <c r="A11" s="57">
        <f t="shared" si="0"/>
        <v>10</v>
      </c>
      <c r="B11" s="8" t="s">
        <v>42</v>
      </c>
      <c r="C11" s="8" t="s">
        <v>204</v>
      </c>
      <c r="D11" s="18" t="s">
        <v>154</v>
      </c>
      <c r="E11" s="45">
        <v>220131072413</v>
      </c>
      <c r="F11" s="41" t="s">
        <v>183</v>
      </c>
      <c r="G11" s="2" t="s">
        <v>39</v>
      </c>
      <c r="H11" s="2" t="s">
        <v>32</v>
      </c>
      <c r="I11" s="114">
        <v>41502</v>
      </c>
      <c r="J11" t="s">
        <v>348</v>
      </c>
      <c r="K11" t="str">
        <f>_xlfn.LET(
_xlpm.policy,$J11,
_xlpm.st,TRIM($G11),
_xlpm.code,
IF(OR(_xlpm.st="الموظف",_xlpm.st="موظفة",_xlpm.st="موظف"),"",
IFERROR(
CHOOSE(MATCH(_xlpm.st,{"زوجة","زوج","ابن","ابنة","اب","ام"},0),
"W","H","S","D","F","M"),
""
)),
_xlpm.serial,
IF(_xlpm.code="","",
1+COUNTIFS($J$2:J11,_xlpm.policy,$G$2:G11,_xlpm.st)-1
),
_xlpm.policy &amp; _xlpm.code &amp; _xlpm.serial
)</f>
        <v>O3G20250002D1</v>
      </c>
      <c r="L11" s="71" t="s">
        <v>388</v>
      </c>
      <c r="M11" s="71" t="s">
        <v>389</v>
      </c>
    </row>
    <row r="12" spans="1:13" ht="20.25" customHeight="1" thickBot="1" x14ac:dyDescent="0.3">
      <c r="A12" s="57">
        <f t="shared" si="0"/>
        <v>11</v>
      </c>
      <c r="B12" s="9" t="s">
        <v>43</v>
      </c>
      <c r="C12" s="9" t="s">
        <v>205</v>
      </c>
      <c r="D12" s="19" t="s">
        <v>154</v>
      </c>
      <c r="E12" s="39">
        <v>120180807773</v>
      </c>
      <c r="F12" s="42" t="s">
        <v>182</v>
      </c>
      <c r="G12" s="14" t="s">
        <v>38</v>
      </c>
      <c r="H12" s="14" t="s">
        <v>31</v>
      </c>
      <c r="I12" s="115">
        <v>43440</v>
      </c>
      <c r="J12" t="s">
        <v>348</v>
      </c>
      <c r="K12" t="str">
        <f>_xlfn.LET(
_xlpm.policy,$J12,
_xlpm.st,TRIM($G12),
_xlpm.code,
IF(OR(_xlpm.st="الموظف",_xlpm.st="موظفة",_xlpm.st="موظف"),"",
IFERROR(
CHOOSE(MATCH(_xlpm.st,{"زوجة","زوج","ابن","ابنة","اب","ام"},0),
"W","H","S","D","F","M"),
""
)),
_xlpm.serial,
IF(_xlpm.code="","",
1+COUNTIFS($J$2:J12,_xlpm.policy,$G$2:G12,_xlpm.st)-1
),
_xlpm.policy &amp; _xlpm.code &amp; _xlpm.serial
)</f>
        <v>O3G20250002S2</v>
      </c>
      <c r="L12" s="71" t="s">
        <v>388</v>
      </c>
      <c r="M12" s="71" t="s">
        <v>389</v>
      </c>
    </row>
    <row r="13" spans="1:13" s="56" customFormat="1" ht="20.25" customHeight="1" thickTop="1" thickBot="1" x14ac:dyDescent="0.3">
      <c r="A13" s="60">
        <f t="shared" si="0"/>
        <v>12</v>
      </c>
      <c r="B13" s="38" t="s">
        <v>298</v>
      </c>
      <c r="C13" s="38" t="s">
        <v>299</v>
      </c>
      <c r="D13" s="53" t="s">
        <v>154</v>
      </c>
      <c r="E13" s="54">
        <v>120050244433</v>
      </c>
      <c r="F13" s="53" t="s">
        <v>300</v>
      </c>
      <c r="G13" s="55" t="s">
        <v>30</v>
      </c>
      <c r="H13" s="55" t="s">
        <v>31</v>
      </c>
      <c r="I13" s="116">
        <v>38627</v>
      </c>
      <c r="J13" t="s">
        <v>349</v>
      </c>
      <c r="K13" t="str">
        <f>_xlfn.LET(
_xlpm.policy,$J13,
_xlpm.st,TRIM($G13),
_xlpm.code,
IF(OR(_xlpm.st="الموظف",_xlpm.st="موظفة",_xlpm.st="موظف"),"",
IFERROR(
CHOOSE(MATCH(_xlpm.st,{"زوجة","زوج","ابن","ابنة","اب","ام"},0),
"W","H","S","D","F","M"),
""
)),
_xlpm.serial,
IF(_xlpm.code="","",
1+COUNTIFS($J$2:J13,_xlpm.policy,$G$2:G13,_xlpm.st)-1
),
_xlpm.policy &amp; _xlpm.code &amp; _xlpm.serial
)</f>
        <v>O3G20250003</v>
      </c>
      <c r="L13" s="71" t="s">
        <v>388</v>
      </c>
      <c r="M13" s="71" t="s">
        <v>389</v>
      </c>
    </row>
    <row r="14" spans="1:13" s="137" customFormat="1" ht="20.25" customHeight="1" thickTop="1" x14ac:dyDescent="0.25">
      <c r="A14" s="131">
        <f t="shared" si="0"/>
        <v>13</v>
      </c>
      <c r="B14" s="138" t="s">
        <v>3</v>
      </c>
      <c r="C14" s="138" t="s">
        <v>206</v>
      </c>
      <c r="D14" s="139" t="s">
        <v>154</v>
      </c>
      <c r="E14" s="140">
        <v>119800241011</v>
      </c>
      <c r="F14" s="139" t="s">
        <v>50</v>
      </c>
      <c r="G14" s="141" t="s">
        <v>30</v>
      </c>
      <c r="H14" s="142" t="s">
        <v>31</v>
      </c>
      <c r="I14" s="143">
        <v>29455</v>
      </c>
      <c r="J14" s="137" t="s">
        <v>350</v>
      </c>
      <c r="K14" s="137" t="str">
        <f>_xlfn.LET(
_xlpm.policy,$J14,
_xlpm.st,TRIM($G14),
_xlpm.code,
IF(OR(_xlpm.st="الموظف",_xlpm.st="موظفة",_xlpm.st="موظف"),"",
IFERROR(
CHOOSE(MATCH(_xlpm.st,{"زوجة","زوج","ابن","ابنة","اب","ام"},0),
"W","H","S","D","F","M"),
""
)),
_xlpm.serial,
IF(_xlpm.code="","",
1+COUNTIFS($J$2:J14,_xlpm.policy,$G$2:G14,_xlpm.st)-1
),
_xlpm.policy &amp; _xlpm.code &amp; _xlpm.serial
)</f>
        <v>O3G20250004</v>
      </c>
    </row>
    <row r="15" spans="1:13" ht="20.25" customHeight="1" x14ac:dyDescent="0.25">
      <c r="A15" s="57">
        <f t="shared" si="0"/>
        <v>14</v>
      </c>
      <c r="B15" s="23" t="s">
        <v>44</v>
      </c>
      <c r="C15" s="23" t="s">
        <v>207</v>
      </c>
      <c r="D15" s="18" t="s">
        <v>154</v>
      </c>
      <c r="E15" s="6">
        <v>219900462014</v>
      </c>
      <c r="F15" s="18" t="s">
        <v>54</v>
      </c>
      <c r="G15" s="2" t="s">
        <v>29</v>
      </c>
      <c r="H15" s="16" t="s">
        <v>32</v>
      </c>
      <c r="I15" s="111">
        <v>33191</v>
      </c>
      <c r="J15" t="s">
        <v>350</v>
      </c>
      <c r="K15" t="str">
        <f>_xlfn.LET(
_xlpm.policy,$J15,
_xlpm.st,TRIM($G15),
_xlpm.code,
IF(OR(_xlpm.st="الموظف",_xlpm.st="موظفة",_xlpm.st="موظف"),"",
IFERROR(
CHOOSE(MATCH(_xlpm.st,{"زوجة","زوج","ابن","ابنة","اب","ام"},0),
"W","H","S","D","F","M"),
""
)),
_xlpm.serial,
IF(_xlpm.code="","",
1+COUNTIFS($J$2:J15,_xlpm.policy,$G$2:G15,_xlpm.st)-1
),
_xlpm.policy &amp; _xlpm.code &amp; _xlpm.serial
)</f>
        <v>O3G20250004W1</v>
      </c>
      <c r="L15" s="71" t="s">
        <v>388</v>
      </c>
      <c r="M15" s="71" t="s">
        <v>389</v>
      </c>
    </row>
    <row r="16" spans="1:13" ht="20.25" customHeight="1" x14ac:dyDescent="0.25">
      <c r="A16" s="57">
        <f t="shared" si="0"/>
        <v>15</v>
      </c>
      <c r="B16" s="23" t="s">
        <v>45</v>
      </c>
      <c r="C16" s="23" t="s">
        <v>208</v>
      </c>
      <c r="D16" s="18" t="s">
        <v>154</v>
      </c>
      <c r="E16" s="6">
        <v>120130969829</v>
      </c>
      <c r="F16" s="18" t="s">
        <v>52</v>
      </c>
      <c r="G16" s="2" t="s">
        <v>38</v>
      </c>
      <c r="H16" s="15" t="s">
        <v>31</v>
      </c>
      <c r="I16" s="111">
        <v>41419</v>
      </c>
      <c r="J16" t="s">
        <v>350</v>
      </c>
      <c r="K16" t="str">
        <f>_xlfn.LET(
_xlpm.policy,$J16,
_xlpm.st,TRIM($G16),
_xlpm.code,
IF(OR(_xlpm.st="الموظف",_xlpm.st="موظفة",_xlpm.st="موظف"),"",
IFERROR(
CHOOSE(MATCH(_xlpm.st,{"زوجة","زوج","ابن","ابنة","اب","ام"},0),
"W","H","S","D","F","M"),
""
)),
_xlpm.serial,
IF(_xlpm.code="","",
1+COUNTIFS($J$2:J16,_xlpm.policy,$G$2:G16,_xlpm.st)-1
),
_xlpm.policy &amp; _xlpm.code &amp; _xlpm.serial
)</f>
        <v>O3G20250004S1</v>
      </c>
      <c r="L16" s="71" t="s">
        <v>388</v>
      </c>
      <c r="M16" s="71" t="s">
        <v>389</v>
      </c>
    </row>
    <row r="17" spans="1:14" ht="20.25" customHeight="1" x14ac:dyDescent="0.25">
      <c r="A17" s="59">
        <f t="shared" si="0"/>
        <v>16</v>
      </c>
      <c r="B17" s="23" t="s">
        <v>46</v>
      </c>
      <c r="C17" s="23" t="s">
        <v>209</v>
      </c>
      <c r="D17" s="18" t="s">
        <v>154</v>
      </c>
      <c r="E17" s="6">
        <v>120141137325</v>
      </c>
      <c r="F17" s="18" t="s">
        <v>53</v>
      </c>
      <c r="G17" s="2" t="s">
        <v>38</v>
      </c>
      <c r="H17" s="15" t="s">
        <v>31</v>
      </c>
      <c r="I17" s="111">
        <v>41710</v>
      </c>
      <c r="J17" t="s">
        <v>350</v>
      </c>
      <c r="K17" t="str">
        <f>_xlfn.LET(
_xlpm.policy,$J17,
_xlpm.st,TRIM($G17),
_xlpm.code,
IF(OR(_xlpm.st="الموظف",_xlpm.st="موظفة",_xlpm.st="موظف"),"",
IFERROR(
CHOOSE(MATCH(_xlpm.st,{"زوجة","زوج","ابن","ابنة","اب","ام"},0),
"W","H","S","D","F","M"),
""
)),
_xlpm.serial,
IF(_xlpm.code="","",
1+COUNTIFS($J$2:J17,_xlpm.policy,$G$2:G17,_xlpm.st)-1
),
_xlpm.policy &amp; _xlpm.code &amp; _xlpm.serial
)</f>
        <v>O3G20250004S2</v>
      </c>
      <c r="L17" s="71" t="s">
        <v>388</v>
      </c>
      <c r="M17" s="71" t="s">
        <v>389</v>
      </c>
    </row>
    <row r="18" spans="1:14" ht="20.25" customHeight="1" x14ac:dyDescent="0.25">
      <c r="A18" s="57">
        <f t="shared" si="0"/>
        <v>17</v>
      </c>
      <c r="B18" s="23" t="s">
        <v>47</v>
      </c>
      <c r="C18" s="23" t="s">
        <v>212</v>
      </c>
      <c r="D18" s="18" t="s">
        <v>154</v>
      </c>
      <c r="E18" s="6">
        <v>220170509460</v>
      </c>
      <c r="F18" s="51" t="s">
        <v>55</v>
      </c>
      <c r="G18" s="2" t="s">
        <v>39</v>
      </c>
      <c r="H18" s="16" t="s">
        <v>32</v>
      </c>
      <c r="I18" s="111">
        <v>42961</v>
      </c>
      <c r="J18" t="s">
        <v>350</v>
      </c>
      <c r="K18" t="str">
        <f>_xlfn.LET(
_xlpm.policy,$J18,
_xlpm.st,TRIM($G18),
_xlpm.code,
IF(OR(_xlpm.st="الموظف",_xlpm.st="موظفة",_xlpm.st="موظف"),"",
IFERROR(
CHOOSE(MATCH(_xlpm.st,{"زوجة","زوج","ابن","ابنة","اب","ام"},0),
"W","H","S","D","F","M"),
""
)),
_xlpm.serial,
IF(_xlpm.code="","",
1+COUNTIFS($J$2:J18,_xlpm.policy,$G$2:G18,_xlpm.st)-1
),
_xlpm.policy &amp; _xlpm.code &amp; _xlpm.serial
)</f>
        <v>O3G20250004D1</v>
      </c>
      <c r="L18" s="71" t="s">
        <v>388</v>
      </c>
      <c r="M18" s="71" t="s">
        <v>389</v>
      </c>
    </row>
    <row r="19" spans="1:14" ht="20.25" customHeight="1" x14ac:dyDescent="0.25">
      <c r="A19" s="57">
        <f t="shared" si="0"/>
        <v>18</v>
      </c>
      <c r="B19" s="23" t="s">
        <v>48</v>
      </c>
      <c r="C19" s="23" t="s">
        <v>210</v>
      </c>
      <c r="D19" s="18" t="s">
        <v>154</v>
      </c>
      <c r="E19" s="6">
        <v>220190057222</v>
      </c>
      <c r="F19" s="51" t="s">
        <v>55</v>
      </c>
      <c r="G19" s="2" t="s">
        <v>39</v>
      </c>
      <c r="H19" s="16" t="s">
        <v>32</v>
      </c>
      <c r="I19" s="111">
        <v>43526</v>
      </c>
      <c r="J19" t="s">
        <v>350</v>
      </c>
      <c r="K19" t="str">
        <f>_xlfn.LET(
_xlpm.policy,$J19,
_xlpm.st,TRIM($G19),
_xlpm.code,
IF(OR(_xlpm.st="الموظف",_xlpm.st="موظفة",_xlpm.st="موظف"),"",
IFERROR(
CHOOSE(MATCH(_xlpm.st,{"زوجة","زوج","ابن","ابنة","اب","ام"},0),
"W","H","S","D","F","M"),
""
)),
_xlpm.serial,
IF(_xlpm.code="","",
1+COUNTIFS($J$2:J19,_xlpm.policy,$G$2:G19,_xlpm.st)-1
),
_xlpm.policy &amp; _xlpm.code &amp; _xlpm.serial
)</f>
        <v>O3G20250004D2</v>
      </c>
      <c r="L19" s="71" t="s">
        <v>388</v>
      </c>
      <c r="M19" s="71" t="s">
        <v>389</v>
      </c>
    </row>
    <row r="20" spans="1:14" ht="20.25" customHeight="1" thickBot="1" x14ac:dyDescent="0.3">
      <c r="A20" s="57">
        <f t="shared" si="0"/>
        <v>19</v>
      </c>
      <c r="B20" s="24" t="s">
        <v>49</v>
      </c>
      <c r="C20" s="24" t="s">
        <v>211</v>
      </c>
      <c r="D20" s="19" t="s">
        <v>154</v>
      </c>
      <c r="E20" s="7">
        <v>120250022464</v>
      </c>
      <c r="F20" s="49" t="s">
        <v>55</v>
      </c>
      <c r="G20" s="14" t="s">
        <v>38</v>
      </c>
      <c r="H20" s="14" t="s">
        <v>31</v>
      </c>
      <c r="I20" s="112">
        <v>45674</v>
      </c>
      <c r="J20" t="s">
        <v>350</v>
      </c>
      <c r="K20" t="str">
        <f>_xlfn.LET(
_xlpm.policy,$J20,
_xlpm.st,TRIM($G20),
_xlpm.code,
IF(OR(_xlpm.st="الموظف",_xlpm.st="موظفة",_xlpm.st="موظف"),"",
IFERROR(
CHOOSE(MATCH(_xlpm.st,{"زوجة","زوج","ابن","ابنة","اب","ام"},0),
"W","H","S","D","F","M"),
""
)),
_xlpm.serial,
IF(_xlpm.code="","",
1+COUNTIFS($J$2:J20,_xlpm.policy,$G$2:G20,_xlpm.st)-1
),
_xlpm.policy &amp; _xlpm.code &amp; _xlpm.serial
)</f>
        <v>O3G20250004S3</v>
      </c>
      <c r="L20" s="71" t="s">
        <v>388</v>
      </c>
      <c r="M20" s="71" t="s">
        <v>389</v>
      </c>
    </row>
    <row r="21" spans="1:14" s="137" customFormat="1" ht="20.25" customHeight="1" thickTop="1" thickBot="1" x14ac:dyDescent="0.3">
      <c r="A21" s="131">
        <f t="shared" si="0"/>
        <v>20</v>
      </c>
      <c r="B21" s="132" t="s">
        <v>4</v>
      </c>
      <c r="C21" s="132" t="s">
        <v>213</v>
      </c>
      <c r="D21" s="133" t="s">
        <v>154</v>
      </c>
      <c r="E21" s="134">
        <v>119790565766</v>
      </c>
      <c r="F21" s="133" t="s">
        <v>56</v>
      </c>
      <c r="G21" s="135" t="s">
        <v>30</v>
      </c>
      <c r="H21" s="135" t="s">
        <v>31</v>
      </c>
      <c r="I21" s="136">
        <v>29076</v>
      </c>
      <c r="J21" s="137" t="s">
        <v>351</v>
      </c>
      <c r="K21" s="137" t="str">
        <f>_xlfn.LET(
_xlpm.policy,$J21,
_xlpm.st,TRIM($G21),
_xlpm.code,
IF(OR(_xlpm.st="الموظف",_xlpm.st="موظفة",_xlpm.st="موظف"),"",
IFERROR(
CHOOSE(MATCH(_xlpm.st,{"زوجة","زوج","ابن","ابنة","اب","ام"},0),
"W","H","S","D","F","M"),
""
)),
_xlpm.serial,
IF(_xlpm.code="","",
1+COUNTIFS($J$2:J21,_xlpm.policy,$G$2:G21,_xlpm.st)-1
),
_xlpm.policy &amp; _xlpm.code &amp; _xlpm.serial
)</f>
        <v>O3G20250005</v>
      </c>
    </row>
    <row r="22" spans="1:14" s="137" customFormat="1" ht="20.25" customHeight="1" thickTop="1" x14ac:dyDescent="0.25">
      <c r="A22" s="131">
        <f t="shared" si="0"/>
        <v>21</v>
      </c>
      <c r="B22" s="138" t="s">
        <v>5</v>
      </c>
      <c r="C22" s="138" t="s">
        <v>214</v>
      </c>
      <c r="D22" s="139" t="s">
        <v>154</v>
      </c>
      <c r="E22" s="140">
        <v>119790372292</v>
      </c>
      <c r="F22" s="139" t="s">
        <v>62</v>
      </c>
      <c r="G22" s="141" t="s">
        <v>30</v>
      </c>
      <c r="H22" s="141" t="s">
        <v>31</v>
      </c>
      <c r="I22" s="143">
        <v>28948</v>
      </c>
      <c r="J22" s="137" t="s">
        <v>352</v>
      </c>
      <c r="K22" s="137" t="str">
        <f>_xlfn.LET(
_xlpm.policy,$J22,
_xlpm.st,TRIM($G22),
_xlpm.code,
IF(OR(_xlpm.st="الموظف",_xlpm.st="موظفة",_xlpm.st="موظف"),"",
IFERROR(
CHOOSE(MATCH(_xlpm.st,{"زوجة","زوج","ابن","ابنة","اب","ام"},0),
"W","H","S","D","F","M"),
""
)),
_xlpm.serial,
IF(_xlpm.code="","",
1+COUNTIFS($J$2:J22,_xlpm.policy,$G$2:G22,_xlpm.st)-1
),
_xlpm.policy &amp; _xlpm.code &amp; _xlpm.serial
)</f>
        <v>O3G20250006</v>
      </c>
    </row>
    <row r="23" spans="1:14" s="137" customFormat="1" ht="20.25" customHeight="1" x14ac:dyDescent="0.25">
      <c r="A23" s="131">
        <f t="shared" si="0"/>
        <v>22</v>
      </c>
      <c r="B23" s="146" t="s">
        <v>57</v>
      </c>
      <c r="C23" s="146" t="s">
        <v>296</v>
      </c>
      <c r="D23" s="145" t="s">
        <v>154</v>
      </c>
      <c r="E23" s="147">
        <v>219890255227</v>
      </c>
      <c r="F23" s="145" t="s">
        <v>297</v>
      </c>
      <c r="G23" s="157" t="s">
        <v>29</v>
      </c>
      <c r="H23" s="157" t="s">
        <v>32</v>
      </c>
      <c r="I23" s="149">
        <v>32770</v>
      </c>
      <c r="J23" s="137" t="s">
        <v>352</v>
      </c>
      <c r="K23" s="137" t="str">
        <f>_xlfn.LET(
_xlpm.policy,$J23,
_xlpm.st,TRIM($G23),
_xlpm.code,
IF(OR(_xlpm.st="الموظف",_xlpm.st="موظفة",_xlpm.st="موظف"),"",
IFERROR(
CHOOSE(MATCH(_xlpm.st,{"زوجة","زوج","ابن","ابنة","اب","ام"},0),
"W","H","S","D","F","M"),
""
)),
_xlpm.serial,
IF(_xlpm.code="","",
1+COUNTIFS($J$2:J23,_xlpm.policy,$G$2:G23,_xlpm.st)-1
),
_xlpm.policy &amp; _xlpm.code &amp; _xlpm.serial
)</f>
        <v>O3G20250006W1</v>
      </c>
    </row>
    <row r="24" spans="1:14" s="137" customFormat="1" ht="20.25" customHeight="1" x14ac:dyDescent="0.25">
      <c r="A24" s="131">
        <f t="shared" si="0"/>
        <v>23</v>
      </c>
      <c r="B24" s="146" t="s">
        <v>58</v>
      </c>
      <c r="C24" s="146" t="s">
        <v>215</v>
      </c>
      <c r="D24" s="145" t="s">
        <v>154</v>
      </c>
      <c r="E24" s="147">
        <v>220150392514</v>
      </c>
      <c r="F24" s="145" t="s">
        <v>177</v>
      </c>
      <c r="G24" s="157" t="s">
        <v>39</v>
      </c>
      <c r="H24" s="157" t="s">
        <v>32</v>
      </c>
      <c r="I24" s="149">
        <v>42131</v>
      </c>
      <c r="J24" s="137" t="s">
        <v>352</v>
      </c>
      <c r="K24" s="137" t="str">
        <f>_xlfn.LET(
_xlpm.policy,$J24,
_xlpm.st,TRIM($G24),
_xlpm.code,
IF(OR(_xlpm.st="الموظف",_xlpm.st="موظفة",_xlpm.st="موظف"),"",
IFERROR(
CHOOSE(MATCH(_xlpm.st,{"زوجة","زوج","ابن","ابنة","اب","ام"},0),
"W","H","S","D","F","M"),
""
)),
_xlpm.serial,
IF(_xlpm.code="","",
1+COUNTIFS($J$2:J24,_xlpm.policy,$G$2:G24,_xlpm.st)-1
),
_xlpm.policy &amp; _xlpm.code &amp; _xlpm.serial
)</f>
        <v>O3G20250006D1</v>
      </c>
    </row>
    <row r="25" spans="1:14" s="137" customFormat="1" ht="20.25" customHeight="1" x14ac:dyDescent="0.25">
      <c r="A25" s="131">
        <f t="shared" si="0"/>
        <v>24</v>
      </c>
      <c r="B25" s="146" t="s">
        <v>59</v>
      </c>
      <c r="C25" s="146" t="s">
        <v>216</v>
      </c>
      <c r="D25" s="145" t="s">
        <v>154</v>
      </c>
      <c r="E25" s="147">
        <v>120161136517</v>
      </c>
      <c r="F25" s="145" t="s">
        <v>178</v>
      </c>
      <c r="G25" s="157" t="s">
        <v>38</v>
      </c>
      <c r="H25" s="157" t="s">
        <v>31</v>
      </c>
      <c r="I25" s="149">
        <v>42727</v>
      </c>
      <c r="J25" s="137" t="s">
        <v>352</v>
      </c>
      <c r="K25" s="137" t="str">
        <f>_xlfn.LET(
_xlpm.policy,$J25,
_xlpm.st,TRIM($G25),
_xlpm.code,
IF(OR(_xlpm.st="الموظف",_xlpm.st="موظفة",_xlpm.st="موظف"),"",
IFERROR(
CHOOSE(MATCH(_xlpm.st,{"زوجة","زوج","ابن","ابنة","اب","ام"},0),
"W","H","S","D","F","M"),
""
)),
_xlpm.serial,
IF(_xlpm.code="","",
1+COUNTIFS($J$2:J25,_xlpm.policy,$G$2:G25,_xlpm.st)-1
),
_xlpm.policy &amp; _xlpm.code &amp; _xlpm.serial
)</f>
        <v>O3G20250006S1</v>
      </c>
    </row>
    <row r="26" spans="1:14" s="137" customFormat="1" ht="20.25" customHeight="1" x14ac:dyDescent="0.25">
      <c r="A26" s="131">
        <f t="shared" si="0"/>
        <v>25</v>
      </c>
      <c r="B26" s="146" t="s">
        <v>60</v>
      </c>
      <c r="C26" s="146" t="s">
        <v>217</v>
      </c>
      <c r="D26" s="145" t="s">
        <v>154</v>
      </c>
      <c r="E26" s="147">
        <v>120200458792</v>
      </c>
      <c r="F26" s="145" t="s">
        <v>179</v>
      </c>
      <c r="G26" s="157" t="s">
        <v>38</v>
      </c>
      <c r="H26" s="157" t="s">
        <v>31</v>
      </c>
      <c r="I26" s="149">
        <v>43883</v>
      </c>
      <c r="J26" s="137" t="s">
        <v>352</v>
      </c>
      <c r="K26" s="137" t="str">
        <f>_xlfn.LET(
_xlpm.policy,$J26,
_xlpm.st,TRIM($G26),
_xlpm.code,
IF(OR(_xlpm.st="الموظف",_xlpm.st="موظفة",_xlpm.st="موظف"),"",
IFERROR(
CHOOSE(MATCH(_xlpm.st,{"زوجة","زوج","ابن","ابنة","اب","ام"},0),
"W","H","S","D","F","M"),
""
)),
_xlpm.serial,
IF(_xlpm.code="","",
1+COUNTIFS($J$2:J26,_xlpm.policy,$G$2:G26,_xlpm.st)-1
),
_xlpm.policy &amp; _xlpm.code &amp; _xlpm.serial
)</f>
        <v>O3G20250006S2</v>
      </c>
    </row>
    <row r="27" spans="1:14" s="137" customFormat="1" ht="20.25" customHeight="1" thickBot="1" x14ac:dyDescent="0.3">
      <c r="A27" s="131">
        <f t="shared" si="0"/>
        <v>26</v>
      </c>
      <c r="B27" s="150" t="s">
        <v>61</v>
      </c>
      <c r="C27" s="150" t="s">
        <v>218</v>
      </c>
      <c r="D27" s="151" t="s">
        <v>154</v>
      </c>
      <c r="E27" s="152">
        <v>120240894624</v>
      </c>
      <c r="F27" s="156" t="s">
        <v>55</v>
      </c>
      <c r="G27" s="158" t="s">
        <v>38</v>
      </c>
      <c r="H27" s="158" t="s">
        <v>31</v>
      </c>
      <c r="I27" s="154">
        <v>45559</v>
      </c>
      <c r="J27" s="137" t="s">
        <v>352</v>
      </c>
      <c r="K27" s="137" t="str">
        <f>_xlfn.LET(
_xlpm.policy,$J27,
_xlpm.st,TRIM($G27),
_xlpm.code,
IF(OR(_xlpm.st="الموظف",_xlpm.st="موظفة",_xlpm.st="موظف"),"",
IFERROR(
CHOOSE(MATCH(_xlpm.st,{"زوجة","زوج","ابن","ابنة","اب","ام"},0),
"W","H","S","D","F","M"),
""
)),
_xlpm.serial,
IF(_xlpm.code="","",
1+COUNTIFS($J$2:J27,_xlpm.policy,$G$2:G27,_xlpm.st)-1
),
_xlpm.policy &amp; _xlpm.code &amp; _xlpm.serial
)</f>
        <v>O3G20250006S3</v>
      </c>
    </row>
    <row r="28" spans="1:14" ht="20.25" customHeight="1" thickTop="1" thickBot="1" x14ac:dyDescent="0.3">
      <c r="A28" s="57">
        <f t="shared" si="0"/>
        <v>27</v>
      </c>
      <c r="B28" s="29" t="s">
        <v>219</v>
      </c>
      <c r="C28" s="27" t="s">
        <v>220</v>
      </c>
      <c r="D28" s="26" t="s">
        <v>154</v>
      </c>
      <c r="E28" s="30">
        <v>119780556376</v>
      </c>
      <c r="F28" s="31" t="s">
        <v>63</v>
      </c>
      <c r="G28" s="32" t="s">
        <v>30</v>
      </c>
      <c r="H28" s="32" t="s">
        <v>31</v>
      </c>
      <c r="I28" s="118">
        <v>28657</v>
      </c>
      <c r="J28" t="s">
        <v>353</v>
      </c>
      <c r="K28" t="str">
        <f>_xlfn.LET(
_xlpm.policy,$J28,
_xlpm.st,TRIM($G28),
_xlpm.code,
IF(OR(_xlpm.st="الموظف",_xlpm.st="موظفة",_xlpm.st="موظف"),"",
IFERROR(
CHOOSE(MATCH(_xlpm.st,{"زوجة","زوج","ابن","ابنة","اب","ام"},0),
"W","H","S","D","F","M"),
""
)),
_xlpm.serial,
IF(_xlpm.code="","",
1+COUNTIFS($J$2:J28,_xlpm.policy,$G$2:G28,_xlpm.st)-1
),
_xlpm.policy &amp; _xlpm.code &amp; _xlpm.serial
)</f>
        <v>O3G20250007</v>
      </c>
      <c r="N28" t="s">
        <v>391</v>
      </c>
    </row>
    <row r="29" spans="1:14" ht="20.25" customHeight="1" thickTop="1" x14ac:dyDescent="0.25">
      <c r="A29" s="57">
        <f t="shared" si="0"/>
        <v>28</v>
      </c>
      <c r="B29" s="11" t="s">
        <v>6</v>
      </c>
      <c r="C29" s="11" t="s">
        <v>221</v>
      </c>
      <c r="D29" s="20" t="s">
        <v>154</v>
      </c>
      <c r="E29" s="12">
        <v>119780175401</v>
      </c>
      <c r="F29" s="20" t="s">
        <v>64</v>
      </c>
      <c r="G29" s="15" t="s">
        <v>30</v>
      </c>
      <c r="H29" s="15" t="s">
        <v>31</v>
      </c>
      <c r="I29" s="117">
        <v>28768</v>
      </c>
      <c r="J29" t="s">
        <v>353</v>
      </c>
      <c r="K29" t="str">
        <f>_xlfn.LET(
_xlpm.policy,$J29,
_xlpm.st,TRIM($G29),
_xlpm.code,
IF(OR(_xlpm.st="الموظف",_xlpm.st="موظفة",_xlpm.st="موظف"),"",
IFERROR(
CHOOSE(MATCH(_xlpm.st,{"زوجة","زوج","ابن","ابنة","اب","ام"},0),
"W","H","S","D","F","M"),
""
)),
_xlpm.serial,
IF(_xlpm.code="","",
1+COUNTIFS($J$2:J29,_xlpm.policy,$G$2:G29,_xlpm.st)-1
),
_xlpm.policy &amp; _xlpm.code &amp; _xlpm.serial
)</f>
        <v>O3G20250007</v>
      </c>
      <c r="L29" s="71" t="s">
        <v>388</v>
      </c>
      <c r="M29" s="71" t="s">
        <v>389</v>
      </c>
    </row>
    <row r="30" spans="1:14" ht="20.25" customHeight="1" x14ac:dyDescent="0.25">
      <c r="A30" s="57">
        <f t="shared" si="0"/>
        <v>29</v>
      </c>
      <c r="B30" s="8" t="s">
        <v>76</v>
      </c>
      <c r="C30" s="8" t="s">
        <v>222</v>
      </c>
      <c r="D30" s="18" t="s">
        <v>154</v>
      </c>
      <c r="E30" s="6">
        <v>219910573782</v>
      </c>
      <c r="F30" s="36" t="s">
        <v>169</v>
      </c>
      <c r="G30" s="16" t="s">
        <v>29</v>
      </c>
      <c r="H30" s="16" t="s">
        <v>32</v>
      </c>
      <c r="I30" s="111">
        <v>33419</v>
      </c>
      <c r="J30" t="s">
        <v>353</v>
      </c>
      <c r="K30" t="str">
        <f>_xlfn.LET(
_xlpm.policy,$J30,
_xlpm.st,TRIM($G30),
_xlpm.code,
IF(OR(_xlpm.st="الموظف",_xlpm.st="موظفة",_xlpm.st="موظف"),"",
IFERROR(
CHOOSE(MATCH(_xlpm.st,{"زوجة","زوج","ابن","ابنة","اب","ام"},0),
"W","H","S","D","F","M"),
""
)),
_xlpm.serial,
IF(_xlpm.code="","",
1+COUNTIFS($J$2:J30,_xlpm.policy,$G$2:G30,_xlpm.st)-1
),
_xlpm.policy &amp; _xlpm.code &amp; _xlpm.serial
)</f>
        <v>O3G20250007W1</v>
      </c>
      <c r="L30" s="71" t="s">
        <v>388</v>
      </c>
      <c r="M30" s="71" t="s">
        <v>389</v>
      </c>
    </row>
    <row r="31" spans="1:14" ht="20.25" customHeight="1" x14ac:dyDescent="0.25">
      <c r="A31" s="57">
        <f t="shared" si="0"/>
        <v>30</v>
      </c>
      <c r="B31" s="8" t="s">
        <v>77</v>
      </c>
      <c r="C31" s="8" t="s">
        <v>223</v>
      </c>
      <c r="D31" s="18" t="s">
        <v>154</v>
      </c>
      <c r="E31" s="6">
        <v>220131010750</v>
      </c>
      <c r="F31" s="36" t="s">
        <v>170</v>
      </c>
      <c r="G31" s="16" t="s">
        <v>39</v>
      </c>
      <c r="H31" s="16" t="s">
        <v>32</v>
      </c>
      <c r="I31" s="111">
        <v>41597</v>
      </c>
      <c r="J31" t="s">
        <v>353</v>
      </c>
      <c r="K31" t="str">
        <f>_xlfn.LET(
_xlpm.policy,$J31,
_xlpm.st,TRIM($G31),
_xlpm.code,
IF(OR(_xlpm.st="الموظف",_xlpm.st="موظفة",_xlpm.st="موظف"),"",
IFERROR(
CHOOSE(MATCH(_xlpm.st,{"زوجة","زوج","ابن","ابنة","اب","ام"},0),
"W","H","S","D","F","M"),
""
)),
_xlpm.serial,
IF(_xlpm.code="","",
1+COUNTIFS($J$2:J31,_xlpm.policy,$G$2:G31,_xlpm.st)-1
),
_xlpm.policy &amp; _xlpm.code &amp; _xlpm.serial
)</f>
        <v>O3G20250007D1</v>
      </c>
      <c r="L31" s="71" t="s">
        <v>388</v>
      </c>
      <c r="M31" s="71" t="s">
        <v>389</v>
      </c>
    </row>
    <row r="32" spans="1:14" ht="20.25" customHeight="1" x14ac:dyDescent="0.25">
      <c r="A32" s="57">
        <f t="shared" si="0"/>
        <v>31</v>
      </c>
      <c r="B32" s="8" t="s">
        <v>78</v>
      </c>
      <c r="C32" s="8" t="s">
        <v>224</v>
      </c>
      <c r="D32" s="18" t="s">
        <v>154</v>
      </c>
      <c r="E32" s="6">
        <v>220170107611</v>
      </c>
      <c r="F32" s="36" t="s">
        <v>171</v>
      </c>
      <c r="G32" s="16" t="s">
        <v>39</v>
      </c>
      <c r="H32" s="16" t="s">
        <v>32</v>
      </c>
      <c r="I32" s="111">
        <v>42797</v>
      </c>
      <c r="J32" t="s">
        <v>353</v>
      </c>
      <c r="K32" t="str">
        <f>_xlfn.LET(
_xlpm.policy,$J32,
_xlpm.st,TRIM($G32),
_xlpm.code,
IF(OR(_xlpm.st="الموظف",_xlpm.st="موظفة",_xlpm.st="موظف"),"",
IFERROR(
CHOOSE(MATCH(_xlpm.st,{"زوجة","زوج","ابن","ابنة","اب","ام"},0),
"W","H","S","D","F","M"),
""
)),
_xlpm.serial,
IF(_xlpm.code="","",
1+COUNTIFS($J$2:J32,_xlpm.policy,$G$2:G32,_xlpm.st)-1
),
_xlpm.policy &amp; _xlpm.code &amp; _xlpm.serial
)</f>
        <v>O3G20250007D2</v>
      </c>
      <c r="L32" s="71" t="s">
        <v>388</v>
      </c>
      <c r="M32" s="71" t="s">
        <v>389</v>
      </c>
    </row>
    <row r="33" spans="1:13" ht="20.25" customHeight="1" thickBot="1" x14ac:dyDescent="0.3">
      <c r="A33" s="57">
        <f t="shared" si="0"/>
        <v>32</v>
      </c>
      <c r="B33" s="9" t="s">
        <v>79</v>
      </c>
      <c r="C33" s="9" t="s">
        <v>225</v>
      </c>
      <c r="D33" s="19" t="s">
        <v>154</v>
      </c>
      <c r="E33" s="7">
        <v>120190970548</v>
      </c>
      <c r="F33" s="37" t="s">
        <v>172</v>
      </c>
      <c r="G33" s="14" t="s">
        <v>38</v>
      </c>
      <c r="H33" s="14" t="s">
        <v>31</v>
      </c>
      <c r="I33" s="112">
        <v>43627</v>
      </c>
      <c r="J33" t="s">
        <v>353</v>
      </c>
      <c r="K33" t="str">
        <f>_xlfn.LET(
_xlpm.policy,$J33,
_xlpm.st,TRIM($G33),
_xlpm.code,
IF(OR(_xlpm.st="الموظف",_xlpm.st="موظفة",_xlpm.st="موظف"),"",
IFERROR(
CHOOSE(MATCH(_xlpm.st,{"زوجة","زوج","ابن","ابنة","اب","ام"},0),
"W","H","S","D","F","M"),
""
)),
_xlpm.serial,
IF(_xlpm.code="","",
1+COUNTIFS($J$2:J33,_xlpm.policy,$G$2:G33,_xlpm.st)-1
),
_xlpm.policy &amp; _xlpm.code &amp; _xlpm.serial
)</f>
        <v>O3G20250007S1</v>
      </c>
      <c r="L33" s="71" t="s">
        <v>388</v>
      </c>
      <c r="M33" s="71" t="s">
        <v>389</v>
      </c>
    </row>
    <row r="34" spans="1:13" s="85" customFormat="1" ht="20.25" customHeight="1" thickTop="1" x14ac:dyDescent="0.25">
      <c r="A34" s="78">
        <f t="shared" si="0"/>
        <v>33</v>
      </c>
      <c r="B34" s="109" t="s">
        <v>7</v>
      </c>
      <c r="C34" s="109" t="s">
        <v>226</v>
      </c>
      <c r="D34" s="102" t="s">
        <v>154</v>
      </c>
      <c r="E34" s="101">
        <v>119810297523</v>
      </c>
      <c r="F34" s="102" t="s">
        <v>68</v>
      </c>
      <c r="G34" s="103" t="s">
        <v>30</v>
      </c>
      <c r="H34" s="103" t="s">
        <v>31</v>
      </c>
      <c r="I34" s="119">
        <v>29610</v>
      </c>
      <c r="J34" s="85" t="s">
        <v>354</v>
      </c>
      <c r="K34" s="85" t="str">
        <f>_xlfn.LET(
_xlpm.policy,$J34,
_xlpm.st,TRIM($G34),
_xlpm.code,
IF(OR(_xlpm.st="الموظف",_xlpm.st="موظفة",_xlpm.st="موظف"),"",
IFERROR(
CHOOSE(MATCH(_xlpm.st,{"زوجة","زوج","ابن","ابنة","اب","ام"},0),
"W","H","S","D","F","M"),
""
)),
_xlpm.serial,
IF(_xlpm.code="","",
1+COUNTIFS($J$2:J34,_xlpm.policy,$G$2:G34,_xlpm.st)-1
),
_xlpm.policy &amp; _xlpm.code &amp; _xlpm.serial
)</f>
        <v>O3G20250008</v>
      </c>
    </row>
    <row r="35" spans="1:13" s="85" customFormat="1" ht="20.25" customHeight="1" x14ac:dyDescent="0.25">
      <c r="A35" s="78">
        <f t="shared" si="0"/>
        <v>34</v>
      </c>
      <c r="B35" s="79" t="s">
        <v>65</v>
      </c>
      <c r="C35" s="79" t="s">
        <v>227</v>
      </c>
      <c r="D35" s="96" t="s">
        <v>154</v>
      </c>
      <c r="E35" s="97">
        <v>219950515098</v>
      </c>
      <c r="F35" s="96" t="s">
        <v>165</v>
      </c>
      <c r="G35" s="98" t="s">
        <v>29</v>
      </c>
      <c r="H35" s="98" t="s">
        <v>32</v>
      </c>
      <c r="I35" s="120">
        <v>35031</v>
      </c>
      <c r="J35" s="85" t="s">
        <v>354</v>
      </c>
      <c r="K35" s="85" t="str">
        <f>_xlfn.LET(
_xlpm.policy,$J35,
_xlpm.st,TRIM($G35),
_xlpm.code,
IF(OR(_xlpm.st="الموظف",_xlpm.st="موظفة",_xlpm.st="موظف"),"",
IFERROR(
CHOOSE(MATCH(_xlpm.st,{"زوجة","زوج","ابن","ابنة","اب","ام"},0),
"W","H","S","D","F","M"),
""
)),
_xlpm.serial,
IF(_xlpm.code="","",
1+COUNTIFS($J$2:J35,_xlpm.policy,$G$2:G35,_xlpm.st)-1
),
_xlpm.policy &amp; _xlpm.code &amp; _xlpm.serial
)</f>
        <v>O3G20250008W1</v>
      </c>
    </row>
    <row r="36" spans="1:13" s="85" customFormat="1" ht="20.25" customHeight="1" x14ac:dyDescent="0.25">
      <c r="A36" s="78">
        <f t="shared" si="0"/>
        <v>35</v>
      </c>
      <c r="B36" s="79" t="s">
        <v>66</v>
      </c>
      <c r="C36" s="79" t="s">
        <v>229</v>
      </c>
      <c r="D36" s="96" t="s">
        <v>154</v>
      </c>
      <c r="E36" s="97">
        <v>120230423698</v>
      </c>
      <c r="F36" s="96" t="s">
        <v>167</v>
      </c>
      <c r="G36" s="98" t="s">
        <v>38</v>
      </c>
      <c r="H36" s="103" t="s">
        <v>31</v>
      </c>
      <c r="I36" s="120">
        <v>45067</v>
      </c>
      <c r="J36" s="85" t="s">
        <v>354</v>
      </c>
      <c r="K36" s="85" t="str">
        <f>_xlfn.LET(
_xlpm.policy,$J36,
_xlpm.st,TRIM($G36),
_xlpm.code,
IF(OR(_xlpm.st="الموظف",_xlpm.st="موظفة",_xlpm.st="موظف"),"",
IFERROR(
CHOOSE(MATCH(_xlpm.st,{"زوجة","زوج","ابن","ابنة","اب","ام"},0),
"W","H","S","D","F","M"),
""
)),
_xlpm.serial,
IF(_xlpm.code="","",
1+COUNTIFS($J$2:J36,_xlpm.policy,$G$2:G36,_xlpm.st)-1
),
_xlpm.policy &amp; _xlpm.code &amp; _xlpm.serial
)</f>
        <v>O3G20250008S1</v>
      </c>
    </row>
    <row r="37" spans="1:13" s="85" customFormat="1" ht="20.25" customHeight="1" thickBot="1" x14ac:dyDescent="0.3">
      <c r="A37" s="78">
        <f t="shared" si="0"/>
        <v>36</v>
      </c>
      <c r="B37" s="92" t="s">
        <v>67</v>
      </c>
      <c r="C37" s="92" t="s">
        <v>228</v>
      </c>
      <c r="D37" s="93" t="s">
        <v>154</v>
      </c>
      <c r="E37" s="100">
        <v>120230423704</v>
      </c>
      <c r="F37" s="93" t="s">
        <v>166</v>
      </c>
      <c r="G37" s="95" t="s">
        <v>38</v>
      </c>
      <c r="H37" s="95" t="s">
        <v>31</v>
      </c>
      <c r="I37" s="121">
        <v>45067</v>
      </c>
      <c r="J37" s="85" t="s">
        <v>354</v>
      </c>
      <c r="K37" s="85" t="str">
        <f>_xlfn.LET(
_xlpm.policy,$J37,
_xlpm.st,TRIM($G37),
_xlpm.code,
IF(OR(_xlpm.st="الموظف",_xlpm.st="موظفة",_xlpm.st="موظف"),"",
IFERROR(
CHOOSE(MATCH(_xlpm.st,{"زوجة","زوج","ابن","ابنة","اب","ام"},0),
"W","H","S","D","F","M"),
""
)),
_xlpm.serial,
IF(_xlpm.code="","",
1+COUNTIFS($J$2:J37,_xlpm.policy,$G$2:G37,_xlpm.st)-1
),
_xlpm.policy &amp; _xlpm.code &amp; _xlpm.serial
)</f>
        <v>O3G20250008S2</v>
      </c>
    </row>
    <row r="38" spans="1:13" ht="20.25" customHeight="1" thickTop="1" x14ac:dyDescent="0.25">
      <c r="A38" s="57">
        <f t="shared" si="0"/>
        <v>37</v>
      </c>
      <c r="B38" s="11" t="s">
        <v>71</v>
      </c>
      <c r="C38" s="11" t="s">
        <v>230</v>
      </c>
      <c r="D38" s="20" t="s">
        <v>154</v>
      </c>
      <c r="E38" s="12">
        <v>119790454798</v>
      </c>
      <c r="F38" s="35" t="s">
        <v>168</v>
      </c>
      <c r="G38" s="15" t="s">
        <v>30</v>
      </c>
      <c r="H38" s="15" t="s">
        <v>31</v>
      </c>
      <c r="I38" s="117">
        <v>29109</v>
      </c>
      <c r="J38" t="s">
        <v>355</v>
      </c>
      <c r="K38" t="str">
        <f>_xlfn.LET(
_xlpm.policy,$J38,
_xlpm.st,TRIM($G38),
_xlpm.code,
IF(OR(_xlpm.st="الموظف",_xlpm.st="موظفة",_xlpm.st="موظف"),"",
IFERROR(
CHOOSE(MATCH(_xlpm.st,{"زوجة","زوج","ابن","ابنة","اب","ام"},0),
"W","H","S","D","F","M"),
""
)),
_xlpm.serial,
IF(_xlpm.code="","",
1+COUNTIFS($J$2:J38,_xlpm.policy,$G$2:G38,_xlpm.st)-1
),
_xlpm.policy &amp; _xlpm.code &amp; _xlpm.serial
)</f>
        <v>O3G20250009</v>
      </c>
      <c r="L38" s="71" t="s">
        <v>388</v>
      </c>
      <c r="M38" s="71" t="s">
        <v>389</v>
      </c>
    </row>
    <row r="39" spans="1:13" ht="20.25" customHeight="1" x14ac:dyDescent="0.25">
      <c r="A39" s="57">
        <f t="shared" si="0"/>
        <v>38</v>
      </c>
      <c r="B39" s="8" t="s">
        <v>69</v>
      </c>
      <c r="C39" s="8" t="s">
        <v>231</v>
      </c>
      <c r="D39" s="18" t="s">
        <v>154</v>
      </c>
      <c r="E39" s="6">
        <v>219800445270</v>
      </c>
      <c r="F39" s="36" t="s">
        <v>101</v>
      </c>
      <c r="G39" s="16" t="s">
        <v>29</v>
      </c>
      <c r="H39" s="16" t="s">
        <v>32</v>
      </c>
      <c r="I39" s="111">
        <v>29488</v>
      </c>
      <c r="J39" t="s">
        <v>355</v>
      </c>
      <c r="K39" t="str">
        <f>_xlfn.LET(
_xlpm.policy,$J39,
_xlpm.st,TRIM($G39),
_xlpm.code,
IF(OR(_xlpm.st="الموظف",_xlpm.st="موظفة",_xlpm.st="موظف"),"",
IFERROR(
CHOOSE(MATCH(_xlpm.st,{"زوجة","زوج","ابن","ابنة","اب","ام"},0),
"W","H","S","D","F","M"),
""
)),
_xlpm.serial,
IF(_xlpm.code="","",
1+COUNTIFS($J$2:J39,_xlpm.policy,$G$2:G39,_xlpm.st)-1
),
_xlpm.policy &amp; _xlpm.code &amp; _xlpm.serial
)</f>
        <v>O3G20250009W1</v>
      </c>
      <c r="L39" s="71" t="s">
        <v>388</v>
      </c>
      <c r="M39" s="71" t="s">
        <v>389</v>
      </c>
    </row>
    <row r="40" spans="1:13" ht="20.25" customHeight="1" x14ac:dyDescent="0.25">
      <c r="A40" s="57">
        <f t="shared" si="0"/>
        <v>39</v>
      </c>
      <c r="B40" s="8" t="s">
        <v>70</v>
      </c>
      <c r="C40" s="8" t="s">
        <v>233</v>
      </c>
      <c r="D40" s="18" t="s">
        <v>154</v>
      </c>
      <c r="E40" s="6">
        <v>220020112138</v>
      </c>
      <c r="F40" s="36" t="s">
        <v>103</v>
      </c>
      <c r="G40" s="16" t="s">
        <v>39</v>
      </c>
      <c r="H40" s="16" t="s">
        <v>32</v>
      </c>
      <c r="I40" s="111">
        <v>37403</v>
      </c>
      <c r="J40" t="s">
        <v>355</v>
      </c>
      <c r="K40" t="str">
        <f>_xlfn.LET(
_xlpm.policy,$J40,
_xlpm.st,TRIM($G40),
_xlpm.code,
IF(OR(_xlpm.st="الموظف",_xlpm.st="موظفة",_xlpm.st="موظف"),"",
IFERROR(
CHOOSE(MATCH(_xlpm.st,{"زوجة","زوج","ابن","ابنة","اب","ام"},0),
"W","H","S","D","F","M"),
""
)),
_xlpm.serial,
IF(_xlpm.code="","",
1+COUNTIFS($J$2:J40,_xlpm.policy,$G$2:G40,_xlpm.st)-1
),
_xlpm.policy &amp; _xlpm.code &amp; _xlpm.serial
)</f>
        <v>O3G20250009D1</v>
      </c>
      <c r="L40" s="71" t="s">
        <v>388</v>
      </c>
      <c r="M40" s="71" t="s">
        <v>389</v>
      </c>
    </row>
    <row r="41" spans="1:13" ht="20.25" customHeight="1" x14ac:dyDescent="0.25">
      <c r="A41" s="57">
        <f t="shared" si="0"/>
        <v>40</v>
      </c>
      <c r="B41" s="10" t="s">
        <v>73</v>
      </c>
      <c r="C41" s="8" t="s">
        <v>232</v>
      </c>
      <c r="D41" s="18" t="s">
        <v>154</v>
      </c>
      <c r="E41" s="6">
        <v>220070141216</v>
      </c>
      <c r="F41" s="36" t="s">
        <v>104</v>
      </c>
      <c r="G41" s="17" t="s">
        <v>39</v>
      </c>
      <c r="H41" s="16" t="s">
        <v>32</v>
      </c>
      <c r="I41" s="122">
        <v>39416</v>
      </c>
      <c r="J41" t="s">
        <v>355</v>
      </c>
      <c r="K41" t="str">
        <f>_xlfn.LET(
_xlpm.policy,$J41,
_xlpm.st,TRIM($G41),
_xlpm.code,
IF(OR(_xlpm.st="الموظف",_xlpm.st="موظفة",_xlpm.st="موظف"),"",
IFERROR(
CHOOSE(MATCH(_xlpm.st,{"زوجة","زوج","ابن","ابنة","اب","ام"},0),
"W","H","S","D","F","M"),
""
)),
_xlpm.serial,
IF(_xlpm.code="","",
1+COUNTIFS($J$2:J41,_xlpm.policy,$G$2:G41,_xlpm.st)-1
),
_xlpm.policy &amp; _xlpm.code &amp; _xlpm.serial
)</f>
        <v>O3G20250009D2</v>
      </c>
      <c r="L41" s="71" t="s">
        <v>388</v>
      </c>
      <c r="M41" s="71" t="s">
        <v>389</v>
      </c>
    </row>
    <row r="42" spans="1:13" ht="20.25" customHeight="1" thickBot="1" x14ac:dyDescent="0.3">
      <c r="A42" s="57">
        <f t="shared" si="0"/>
        <v>41</v>
      </c>
      <c r="B42" s="9" t="s">
        <v>72</v>
      </c>
      <c r="C42" s="47" t="s">
        <v>234</v>
      </c>
      <c r="D42" s="26" t="s">
        <v>154</v>
      </c>
      <c r="E42" s="25">
        <v>120150683853</v>
      </c>
      <c r="F42" s="40" t="s">
        <v>102</v>
      </c>
      <c r="G42" s="14" t="s">
        <v>38</v>
      </c>
      <c r="H42" s="14" t="s">
        <v>31</v>
      </c>
      <c r="I42" s="112">
        <v>42180</v>
      </c>
      <c r="J42" t="s">
        <v>355</v>
      </c>
      <c r="K42" t="str">
        <f>_xlfn.LET(
_xlpm.policy,$J42,
_xlpm.st,TRIM($G42),
_xlpm.code,
IF(OR(_xlpm.st="الموظف",_xlpm.st="موظفة",_xlpm.st="موظف"),"",
IFERROR(
CHOOSE(MATCH(_xlpm.st,{"زوجة","زوج","ابن","ابنة","اب","ام"},0),
"W","H","S","D","F","M"),
""
)),
_xlpm.serial,
IF(_xlpm.code="","",
1+COUNTIFS($J$2:J42,_xlpm.policy,$G$2:G42,_xlpm.st)-1
),
_xlpm.policy &amp; _xlpm.code &amp; _xlpm.serial
)</f>
        <v>O3G20250009S1</v>
      </c>
      <c r="L42" s="71" t="s">
        <v>388</v>
      </c>
      <c r="M42" s="71" t="s">
        <v>389</v>
      </c>
    </row>
    <row r="43" spans="1:13" ht="20.25" customHeight="1" thickTop="1" x14ac:dyDescent="0.25">
      <c r="A43" s="57">
        <f t="shared" si="0"/>
        <v>42</v>
      </c>
      <c r="B43" s="22" t="s">
        <v>8</v>
      </c>
      <c r="C43" s="22" t="s">
        <v>235</v>
      </c>
      <c r="D43" s="35" t="s">
        <v>154</v>
      </c>
      <c r="E43" s="43">
        <v>119950072004</v>
      </c>
      <c r="F43" s="35" t="s">
        <v>160</v>
      </c>
      <c r="G43" s="44" t="s">
        <v>30</v>
      </c>
      <c r="H43" s="44" t="s">
        <v>31</v>
      </c>
      <c r="I43" s="113">
        <v>34798</v>
      </c>
      <c r="J43" t="s">
        <v>356</v>
      </c>
      <c r="K43" t="str">
        <f>_xlfn.LET(
_xlpm.policy,$J43,
_xlpm.st,TRIM($G43),
_xlpm.code,
IF(OR(_xlpm.st="الموظف",_xlpm.st="موظفة",_xlpm.st="موظف"),"",
IFERROR(
CHOOSE(MATCH(_xlpm.st,{"زوجة","زوج","ابن","ابنة","اب","ام"},0),
"W","H","S","D","F","M"),
""
)),
_xlpm.serial,
IF(_xlpm.code="","",
1+COUNTIFS($J$2:J43,_xlpm.policy,$G$2:G43,_xlpm.st)-1
),
_xlpm.policy &amp; _xlpm.code &amp; _xlpm.serial
)</f>
        <v>O3G20250010</v>
      </c>
      <c r="L43" s="71" t="s">
        <v>388</v>
      </c>
      <c r="M43" s="71" t="s">
        <v>389</v>
      </c>
    </row>
    <row r="44" spans="1:13" ht="20.25" customHeight="1" x14ac:dyDescent="0.25">
      <c r="A44" s="57">
        <f t="shared" si="0"/>
        <v>43</v>
      </c>
      <c r="B44" s="23" t="s">
        <v>161</v>
      </c>
      <c r="C44" s="23" t="s">
        <v>236</v>
      </c>
      <c r="D44" s="36" t="s">
        <v>154</v>
      </c>
      <c r="E44" s="45">
        <v>219970153128</v>
      </c>
      <c r="F44" s="50" t="s">
        <v>55</v>
      </c>
      <c r="G44" s="46" t="s">
        <v>29</v>
      </c>
      <c r="H44" s="46" t="s">
        <v>32</v>
      </c>
      <c r="I44" s="114">
        <v>35688</v>
      </c>
      <c r="J44" t="s">
        <v>356</v>
      </c>
      <c r="K44" t="str">
        <f>_xlfn.LET(
_xlpm.policy,$J44,
_xlpm.st,TRIM($G44),
_xlpm.code,
IF(OR(_xlpm.st="الموظف",_xlpm.st="موظفة",_xlpm.st="موظف"),"",
IFERROR(
CHOOSE(MATCH(_xlpm.st,{"زوجة","زوج","ابن","ابنة","اب","ام"},0),
"W","H","S","D","F","M"),
""
)),
_xlpm.serial,
IF(_xlpm.code="","",
1+COUNTIFS($J$2:J44,_xlpm.policy,$G$2:G44,_xlpm.st)-1
),
_xlpm.policy &amp; _xlpm.code &amp; _xlpm.serial
)</f>
        <v>O3G20250010W1</v>
      </c>
      <c r="L44" s="71" t="s">
        <v>388</v>
      </c>
      <c r="M44" s="71" t="s">
        <v>389</v>
      </c>
    </row>
    <row r="45" spans="1:13" ht="20.25" customHeight="1" x14ac:dyDescent="0.25">
      <c r="A45" s="57">
        <f t="shared" si="0"/>
        <v>44</v>
      </c>
      <c r="B45" s="23" t="s">
        <v>162</v>
      </c>
      <c r="C45" s="23" t="s">
        <v>237</v>
      </c>
      <c r="D45" s="36" t="s">
        <v>154</v>
      </c>
      <c r="E45" s="45">
        <v>120210503613</v>
      </c>
      <c r="F45" s="50" t="s">
        <v>55</v>
      </c>
      <c r="G45" s="46" t="s">
        <v>38</v>
      </c>
      <c r="H45" s="46" t="s">
        <v>31</v>
      </c>
      <c r="I45" s="114">
        <v>44534</v>
      </c>
      <c r="J45" t="s">
        <v>356</v>
      </c>
      <c r="K45" t="str">
        <f>_xlfn.LET(
_xlpm.policy,$J45,
_xlpm.st,TRIM($G45),
_xlpm.code,
IF(OR(_xlpm.st="الموظف",_xlpm.st="موظفة",_xlpm.st="موظف"),"",
IFERROR(
CHOOSE(MATCH(_xlpm.st,{"زوجة","زوج","ابن","ابنة","اب","ام"},0),
"W","H","S","D","F","M"),
""
)),
_xlpm.serial,
IF(_xlpm.code="","",
1+COUNTIFS($J$2:J45,_xlpm.policy,$G$2:G45,_xlpm.st)-1
),
_xlpm.policy &amp; _xlpm.code &amp; _xlpm.serial
)</f>
        <v>O3G20250010S1</v>
      </c>
      <c r="L45" s="71" t="s">
        <v>388</v>
      </c>
      <c r="M45" s="71" t="s">
        <v>389</v>
      </c>
    </row>
    <row r="46" spans="1:13" s="85" customFormat="1" ht="20.25" customHeight="1" x14ac:dyDescent="0.25">
      <c r="A46" s="78">
        <f t="shared" si="0"/>
        <v>45</v>
      </c>
      <c r="B46" s="79" t="s">
        <v>163</v>
      </c>
      <c r="C46" s="79" t="s">
        <v>238</v>
      </c>
      <c r="D46" s="96" t="s">
        <v>154</v>
      </c>
      <c r="E46" s="97">
        <v>120230479646</v>
      </c>
      <c r="F46" s="108" t="s">
        <v>55</v>
      </c>
      <c r="G46" s="98" t="s">
        <v>38</v>
      </c>
      <c r="H46" s="98" t="s">
        <v>31</v>
      </c>
      <c r="I46" s="120">
        <v>44992</v>
      </c>
      <c r="J46" s="85" t="s">
        <v>356</v>
      </c>
      <c r="K46" s="85" t="str">
        <f>_xlfn.LET(
_xlpm.policy,$J46,
_xlpm.st,TRIM($G46),
_xlpm.code,
IF(OR(_xlpm.st="الموظف",_xlpm.st="موظفة",_xlpm.st="موظف"),"",
IFERROR(
CHOOSE(MATCH(_xlpm.st,{"زوجة","زوج","ابن","ابنة","اب","ام"},0),
"W","H","S","D","F","M"),
""
)),
_xlpm.serial,
IF(_xlpm.code="","",
1+COUNTIFS($J$2:J46,_xlpm.policy,$G$2:G46,_xlpm.st)-1
),
_xlpm.policy &amp; _xlpm.code &amp; _xlpm.serial
)</f>
        <v>O3G20250010S2</v>
      </c>
      <c r="L46" s="88" t="s">
        <v>388</v>
      </c>
      <c r="M46" s="88" t="s">
        <v>389</v>
      </c>
    </row>
    <row r="47" spans="1:13" s="85" customFormat="1" ht="20.25" customHeight="1" thickBot="1" x14ac:dyDescent="0.3">
      <c r="A47" s="78">
        <f t="shared" si="0"/>
        <v>46</v>
      </c>
      <c r="B47" s="92" t="s">
        <v>164</v>
      </c>
      <c r="C47" s="92" t="s">
        <v>239</v>
      </c>
      <c r="D47" s="93" t="s">
        <v>154</v>
      </c>
      <c r="E47" s="100">
        <v>120250157865</v>
      </c>
      <c r="F47" s="94" t="s">
        <v>55</v>
      </c>
      <c r="G47" s="95" t="s">
        <v>38</v>
      </c>
      <c r="H47" s="95" t="s">
        <v>31</v>
      </c>
      <c r="I47" s="121">
        <v>45872</v>
      </c>
      <c r="J47" s="85" t="s">
        <v>356</v>
      </c>
      <c r="K47" s="85" t="str">
        <f>_xlfn.LET(
_xlpm.policy,$J47,
_xlpm.st,TRIM($G47),
_xlpm.code,
IF(OR(_xlpm.st="الموظف",_xlpm.st="موظفة",_xlpm.st="موظف"),"",
IFERROR(
CHOOSE(MATCH(_xlpm.st,{"زوجة","زوج","ابن","ابنة","اب","ام"},0),
"W","H","S","D","F","M"),
""
)),
_xlpm.serial,
IF(_xlpm.code="","",
1+COUNTIFS($J$2:J47,_xlpm.policy,$G$2:G47,_xlpm.st)-1
),
_xlpm.policy &amp; _xlpm.code &amp; _xlpm.serial
)</f>
        <v>O3G20250010S3</v>
      </c>
      <c r="L47" s="88" t="s">
        <v>388</v>
      </c>
      <c r="M47" s="88" t="s">
        <v>389</v>
      </c>
    </row>
    <row r="48" spans="1:13" s="85" customFormat="1" ht="20.25" customHeight="1" thickTop="1" thickBot="1" x14ac:dyDescent="0.3">
      <c r="A48" s="78">
        <f t="shared" si="0"/>
        <v>47</v>
      </c>
      <c r="B48" s="104" t="s">
        <v>241</v>
      </c>
      <c r="C48" s="104" t="s">
        <v>240</v>
      </c>
      <c r="D48" s="105" t="s">
        <v>154</v>
      </c>
      <c r="E48" s="106">
        <v>219990325521</v>
      </c>
      <c r="F48" s="105" t="s">
        <v>74</v>
      </c>
      <c r="G48" s="107" t="s">
        <v>30</v>
      </c>
      <c r="H48" s="107" t="s">
        <v>32</v>
      </c>
      <c r="I48" s="123">
        <v>36353</v>
      </c>
      <c r="J48" s="85" t="s">
        <v>357</v>
      </c>
      <c r="K48" s="85" t="str">
        <f>_xlfn.LET(
_xlpm.policy,$J48,
_xlpm.st,TRIM($G48),
_xlpm.code,
IF(OR(_xlpm.st="الموظف",_xlpm.st="موظفة",_xlpm.st="موظف"),"",
IFERROR(
CHOOSE(MATCH(_xlpm.st,{"زوجة","زوج","ابن","ابنة","اب","ام"},0),
"W","H","S","D","F","M"),
""
)),
_xlpm.serial,
IF(_xlpm.code="","",
1+COUNTIFS($J$2:J48,_xlpm.policy,$G$2:G48,_xlpm.st)-1
),
_xlpm.policy &amp; _xlpm.code &amp; _xlpm.serial
)</f>
        <v>O3G20250011</v>
      </c>
      <c r="L48" s="88" t="s">
        <v>388</v>
      </c>
      <c r="M48" s="88" t="s">
        <v>389</v>
      </c>
    </row>
    <row r="49" spans="1:13" s="85" customFormat="1" ht="20.25" customHeight="1" thickTop="1" thickBot="1" x14ac:dyDescent="0.3">
      <c r="A49" s="78">
        <f t="shared" si="0"/>
        <v>48</v>
      </c>
      <c r="B49" s="104" t="s">
        <v>9</v>
      </c>
      <c r="C49" s="104" t="s">
        <v>242</v>
      </c>
      <c r="D49" s="105" t="s">
        <v>154</v>
      </c>
      <c r="E49" s="106">
        <v>119970275968</v>
      </c>
      <c r="F49" s="105" t="s">
        <v>75</v>
      </c>
      <c r="G49" s="107" t="s">
        <v>30</v>
      </c>
      <c r="H49" s="107" t="s">
        <v>31</v>
      </c>
      <c r="I49" s="123">
        <v>35540</v>
      </c>
      <c r="J49" s="99" t="s">
        <v>358</v>
      </c>
      <c r="K49" s="85" t="str">
        <f>_xlfn.LET(
_xlpm.policy,$J49,
_xlpm.st,TRIM($G49),
_xlpm.code,
IF(OR(_xlpm.st="الموظف",_xlpm.st="موظفة",_xlpm.st="موظف"),"",
IFERROR(
CHOOSE(MATCH(_xlpm.st,{"زوجة","زوج","ابن","ابنة","اب","ام"},0),
"W","H","S","D","F","M"),
""
)),
_xlpm.serial,
IF(_xlpm.code="","",
1+COUNTIFS($J$2:J49,_xlpm.policy,$G$2:G49,_xlpm.st)-1
),
_xlpm.policy &amp; _xlpm.code &amp; _xlpm.serial
)</f>
        <v>O3G20250012</v>
      </c>
    </row>
    <row r="50" spans="1:13" ht="20.25" customHeight="1" thickTop="1" x14ac:dyDescent="0.25">
      <c r="A50" s="57">
        <f t="shared" si="0"/>
        <v>49</v>
      </c>
      <c r="B50" s="22" t="s">
        <v>10</v>
      </c>
      <c r="C50" s="22" t="s">
        <v>243</v>
      </c>
      <c r="D50" s="20" t="s">
        <v>154</v>
      </c>
      <c r="E50" s="12">
        <v>119850412559</v>
      </c>
      <c r="F50" s="35" t="s">
        <v>83</v>
      </c>
      <c r="G50" s="15" t="s">
        <v>30</v>
      </c>
      <c r="H50" s="15" t="s">
        <v>31</v>
      </c>
      <c r="I50" s="117">
        <v>31393</v>
      </c>
      <c r="J50" s="76" t="s">
        <v>359</v>
      </c>
      <c r="K50" t="str">
        <f>_xlfn.LET(
_xlpm.policy,$J50,
_xlpm.st,TRIM($G50),
_xlpm.code,
IF(OR(_xlpm.st="الموظف",_xlpm.st="موظفة",_xlpm.st="موظف"),"",
IFERROR(
CHOOSE(MATCH(_xlpm.st,{"زوجة","زوج","ابن","ابنة","اب","ام"},0),
"W","H","S","D","F","M"),
""
)),
_xlpm.serial,
IF(_xlpm.code="","",
1+COUNTIFS($J$2:J50,_xlpm.policy,$G$2:G50,_xlpm.st)-1
),
_xlpm.policy &amp; _xlpm.code &amp; _xlpm.serial
)</f>
        <v>O3G20250013</v>
      </c>
      <c r="L50" s="71" t="s">
        <v>388</v>
      </c>
      <c r="M50" s="71" t="s">
        <v>389</v>
      </c>
    </row>
    <row r="51" spans="1:13" s="85" customFormat="1" ht="20.25" customHeight="1" x14ac:dyDescent="0.25">
      <c r="A51" s="78">
        <f t="shared" si="0"/>
        <v>50</v>
      </c>
      <c r="B51" s="79" t="s">
        <v>80</v>
      </c>
      <c r="C51" s="79" t="s">
        <v>244</v>
      </c>
      <c r="D51" s="96" t="s">
        <v>154</v>
      </c>
      <c r="E51" s="97">
        <v>219960413212</v>
      </c>
      <c r="F51" s="96" t="s">
        <v>84</v>
      </c>
      <c r="G51" s="98" t="s">
        <v>29</v>
      </c>
      <c r="H51" s="98" t="s">
        <v>32</v>
      </c>
      <c r="I51" s="120">
        <v>35270</v>
      </c>
      <c r="J51" s="99" t="s">
        <v>359</v>
      </c>
      <c r="K51" s="85" t="str">
        <f>_xlfn.LET(
_xlpm.policy,$J51,
_xlpm.st,TRIM($G51),
_xlpm.code,
IF(OR(_xlpm.st="الموظف",_xlpm.st="موظفة",_xlpm.st="موظف"),"",
IFERROR(
CHOOSE(MATCH(_xlpm.st,{"زوجة","زوج","ابن","ابنة","اب","ام"},0),
"W","H","S","D","F","M"),
""
)),
_xlpm.serial,
IF(_xlpm.code="","",
1+COUNTIFS($J$2:J51,_xlpm.policy,$G$2:G51,_xlpm.st)-1
),
_xlpm.policy &amp; _xlpm.code &amp; _xlpm.serial
)</f>
        <v>O3G20250013W1</v>
      </c>
      <c r="L51" s="88" t="s">
        <v>388</v>
      </c>
      <c r="M51" s="88" t="s">
        <v>389</v>
      </c>
    </row>
    <row r="52" spans="1:13" s="85" customFormat="1" ht="20.25" customHeight="1" x14ac:dyDescent="0.25">
      <c r="A52" s="78">
        <f t="shared" si="0"/>
        <v>51</v>
      </c>
      <c r="B52" s="79" t="s">
        <v>81</v>
      </c>
      <c r="C52" s="79" t="s">
        <v>245</v>
      </c>
      <c r="D52" s="96" t="s">
        <v>154</v>
      </c>
      <c r="E52" s="97">
        <v>220211041605</v>
      </c>
      <c r="F52" s="96" t="s">
        <v>85</v>
      </c>
      <c r="G52" s="98" t="s">
        <v>39</v>
      </c>
      <c r="H52" s="98" t="s">
        <v>32</v>
      </c>
      <c r="I52" s="120">
        <v>44512</v>
      </c>
      <c r="J52" s="99" t="s">
        <v>359</v>
      </c>
      <c r="K52" s="85" t="str">
        <f>_xlfn.LET(
_xlpm.policy,$J52,
_xlpm.st,TRIM($G52),
_xlpm.code,
IF(OR(_xlpm.st="الموظف",_xlpm.st="موظفة",_xlpm.st="موظف"),"",
IFERROR(
CHOOSE(MATCH(_xlpm.st,{"زوجة","زوج","ابن","ابنة","اب","ام"},0),
"W","H","S","D","F","M"),
""
)),
_xlpm.serial,
IF(_xlpm.code="","",
1+COUNTIFS($J$2:J52,_xlpm.policy,$G$2:G52,_xlpm.st)-1
),
_xlpm.policy &amp; _xlpm.code &amp; _xlpm.serial
)</f>
        <v>O3G20250013D1</v>
      </c>
      <c r="L52" s="88" t="s">
        <v>388</v>
      </c>
      <c r="M52" s="88" t="s">
        <v>389</v>
      </c>
    </row>
    <row r="53" spans="1:13" s="85" customFormat="1" ht="20.25" customHeight="1" thickBot="1" x14ac:dyDescent="0.3">
      <c r="A53" s="78">
        <f t="shared" si="0"/>
        <v>52</v>
      </c>
      <c r="B53" s="92" t="s">
        <v>82</v>
      </c>
      <c r="C53" s="92" t="s">
        <v>246</v>
      </c>
      <c r="D53" s="93" t="s">
        <v>154</v>
      </c>
      <c r="E53" s="100">
        <v>120240355846</v>
      </c>
      <c r="F53" s="93" t="s">
        <v>86</v>
      </c>
      <c r="G53" s="95" t="s">
        <v>87</v>
      </c>
      <c r="H53" s="95" t="s">
        <v>31</v>
      </c>
      <c r="I53" s="121">
        <v>45436</v>
      </c>
      <c r="J53" s="99" t="s">
        <v>359</v>
      </c>
      <c r="K53" s="85" t="str">
        <f>_xlfn.LET(
_xlpm.policy,$J53,
_xlpm.st,TRIM($G53),
_xlpm.code,
IF(OR(_xlpm.st="الموظف",_xlpm.st="موظفة",_xlpm.st="موظف"),"",
IFERROR(
CHOOSE(MATCH(_xlpm.st,{"زوجة","زوج","ابن","ابنة","اب","ام"},0),
"W","H","S","D","F","M"),
""
)),
_xlpm.serial,
IF(_xlpm.code="","",
1+COUNTIFS($J$2:J53,_xlpm.policy,$G$2:G53,_xlpm.st)-1
),
_xlpm.policy &amp; _xlpm.code &amp; _xlpm.serial
)</f>
        <v>O3G20250013S0</v>
      </c>
      <c r="L53" s="88" t="s">
        <v>388</v>
      </c>
      <c r="M53" s="88" t="s">
        <v>389</v>
      </c>
    </row>
    <row r="54" spans="1:13" ht="20.25" customHeight="1" thickTop="1" thickBot="1" x14ac:dyDescent="0.3">
      <c r="A54" s="57">
        <f t="shared" si="0"/>
        <v>53</v>
      </c>
      <c r="B54" s="29" t="s">
        <v>11</v>
      </c>
      <c r="C54" s="29" t="s">
        <v>247</v>
      </c>
      <c r="D54" s="31" t="s">
        <v>154</v>
      </c>
      <c r="E54" s="30">
        <v>119990017623</v>
      </c>
      <c r="F54" s="31" t="s">
        <v>88</v>
      </c>
      <c r="G54" s="34" t="s">
        <v>30</v>
      </c>
      <c r="H54" s="34" t="s">
        <v>31</v>
      </c>
      <c r="I54" s="118">
        <v>36448</v>
      </c>
      <c r="J54" s="76" t="s">
        <v>360</v>
      </c>
      <c r="K54" t="str">
        <f>_xlfn.LET(
_xlpm.policy,$J54,
_xlpm.st,TRIM($G54),
_xlpm.code,
IF(OR(_xlpm.st="الموظف",_xlpm.st="موظفة",_xlpm.st="موظف"),"",
IFERROR(
CHOOSE(MATCH(_xlpm.st,{"زوجة","زوج","ابن","ابنة","اب","ام"},0),
"W","H","S","D","F","M"),
""
)),
_xlpm.serial,
IF(_xlpm.code="","",
1+COUNTIFS($J$2:J54,_xlpm.policy,$G$2:G54,_xlpm.st)-1
),
_xlpm.policy &amp; _xlpm.code &amp; _xlpm.serial
)</f>
        <v>O3G20250014</v>
      </c>
      <c r="L54" s="71" t="s">
        <v>388</v>
      </c>
      <c r="M54" s="71" t="s">
        <v>389</v>
      </c>
    </row>
    <row r="55" spans="1:13" ht="20.25" customHeight="1" thickTop="1" x14ac:dyDescent="0.25">
      <c r="A55" s="57">
        <f t="shared" si="0"/>
        <v>54</v>
      </c>
      <c r="B55" s="11" t="s">
        <v>12</v>
      </c>
      <c r="C55" s="11" t="s">
        <v>248</v>
      </c>
      <c r="D55" s="20" t="s">
        <v>154</v>
      </c>
      <c r="E55" s="12">
        <v>119830389822</v>
      </c>
      <c r="F55" s="20" t="s">
        <v>89</v>
      </c>
      <c r="G55" s="15" t="s">
        <v>30</v>
      </c>
      <c r="H55" s="15" t="s">
        <v>31</v>
      </c>
      <c r="I55" s="117">
        <v>30586</v>
      </c>
      <c r="J55" t="s">
        <v>361</v>
      </c>
      <c r="K55" t="str">
        <f>_xlfn.LET(
_xlpm.policy,$J55,
_xlpm.st,TRIM($G55),
_xlpm.code,
IF(OR(_xlpm.st="الموظف",_xlpm.st="موظفة",_xlpm.st="موظف"),"",
IFERROR(
CHOOSE(MATCH(_xlpm.st,{"زوجة","زوج","ابن","ابنة","اب","ام"},0),
"W","H","S","D","F","M"),
""
)),
_xlpm.serial,
IF(_xlpm.code="","",
1+COUNTIFS($J$2:J55,_xlpm.policy,$G$2:G55,_xlpm.st)-1
),
_xlpm.policy &amp; _xlpm.code &amp; _xlpm.serial
)</f>
        <v>O3G20250015</v>
      </c>
      <c r="L55" s="71" t="s">
        <v>388</v>
      </c>
      <c r="M55" s="71" t="s">
        <v>389</v>
      </c>
    </row>
    <row r="56" spans="1:13" s="137" customFormat="1" ht="20.25" customHeight="1" x14ac:dyDescent="0.25">
      <c r="A56" s="131">
        <f t="shared" si="0"/>
        <v>55</v>
      </c>
      <c r="B56" s="144" t="s">
        <v>90</v>
      </c>
      <c r="C56" s="144" t="s">
        <v>249</v>
      </c>
      <c r="D56" s="145" t="s">
        <v>154</v>
      </c>
      <c r="E56" s="140">
        <v>219860444606</v>
      </c>
      <c r="F56" s="139" t="s">
        <v>95</v>
      </c>
      <c r="G56" s="142" t="s">
        <v>29</v>
      </c>
      <c r="H56" s="142" t="s">
        <v>32</v>
      </c>
      <c r="I56" s="143">
        <v>31632</v>
      </c>
      <c r="J56" s="137" t="s">
        <v>361</v>
      </c>
      <c r="K56" s="137" t="str">
        <f>_xlfn.LET(
_xlpm.policy,$J56,
_xlpm.st,TRIM($G56),
_xlpm.code,
IF(OR(_xlpm.st="الموظف",_xlpm.st="موظفة",_xlpm.st="موظف"),"",
IFERROR(
CHOOSE(MATCH(_xlpm.st,{"زوجة","زوج","ابن","ابنة","اب","ام"},0),
"W","H","S","D","F","M"),
""
)),
_xlpm.serial,
IF(_xlpm.code="","",
1+COUNTIFS($J$2:J56,_xlpm.policy,$G$2:G56,_xlpm.st)-1
),
_xlpm.policy &amp; _xlpm.code &amp; _xlpm.serial
)</f>
        <v>O3G20250015W1</v>
      </c>
    </row>
    <row r="57" spans="1:13" s="137" customFormat="1" ht="20.25" customHeight="1" x14ac:dyDescent="0.25">
      <c r="A57" s="131">
        <f t="shared" si="0"/>
        <v>56</v>
      </c>
      <c r="B57" s="144" t="s">
        <v>91</v>
      </c>
      <c r="C57" s="144" t="s">
        <v>250</v>
      </c>
      <c r="D57" s="145" t="s">
        <v>154</v>
      </c>
      <c r="E57" s="140">
        <v>120110672268</v>
      </c>
      <c r="F57" s="139" t="s">
        <v>173</v>
      </c>
      <c r="G57" s="142" t="s">
        <v>38</v>
      </c>
      <c r="H57" s="142" t="s">
        <v>31</v>
      </c>
      <c r="I57" s="143">
        <v>40733</v>
      </c>
      <c r="J57" s="137" t="s">
        <v>361</v>
      </c>
      <c r="K57" s="137" t="str">
        <f>_xlfn.LET(
_xlpm.policy,$J57,
_xlpm.st,TRIM($G57),
_xlpm.code,
IF(OR(_xlpm.st="الموظف",_xlpm.st="موظفة",_xlpm.st="موظف"),"",
IFERROR(
CHOOSE(MATCH(_xlpm.st,{"زوجة","زوج","ابن","ابنة","اب","ام"},0),
"W","H","S","D","F","M"),
""
)),
_xlpm.serial,
IF(_xlpm.code="","",
1+COUNTIFS($J$2:J57,_xlpm.policy,$G$2:G57,_xlpm.st)-1
),
_xlpm.policy &amp; _xlpm.code &amp; _xlpm.serial
)</f>
        <v>O3G20250015S1</v>
      </c>
    </row>
    <row r="58" spans="1:13" s="137" customFormat="1" ht="20.25" customHeight="1" x14ac:dyDescent="0.25">
      <c r="A58" s="131">
        <f t="shared" si="0"/>
        <v>57</v>
      </c>
      <c r="B58" s="146" t="s">
        <v>92</v>
      </c>
      <c r="C58" s="146" t="s">
        <v>251</v>
      </c>
      <c r="D58" s="145" t="s">
        <v>154</v>
      </c>
      <c r="E58" s="147">
        <v>220130605803</v>
      </c>
      <c r="F58" s="145" t="s">
        <v>174</v>
      </c>
      <c r="G58" s="148" t="s">
        <v>39</v>
      </c>
      <c r="H58" s="148" t="s">
        <v>32</v>
      </c>
      <c r="I58" s="149">
        <v>41478</v>
      </c>
      <c r="J58" s="137" t="s">
        <v>361</v>
      </c>
      <c r="K58" s="137" t="str">
        <f>_xlfn.LET(
_xlpm.policy,$J58,
_xlpm.st,TRIM($G58),
_xlpm.code,
IF(OR(_xlpm.st="الموظف",_xlpm.st="موظفة",_xlpm.st="موظف"),"",
IFERROR(
CHOOSE(MATCH(_xlpm.st,{"زوجة","زوج","ابن","ابنة","اب","ام"},0),
"W","H","S","D","F","M"),
""
)),
_xlpm.serial,
IF(_xlpm.code="","",
1+COUNTIFS($J$2:J58,_xlpm.policy,$G$2:G58,_xlpm.st)-1
),
_xlpm.policy &amp; _xlpm.code &amp; _xlpm.serial
)</f>
        <v>O3G20250015D1</v>
      </c>
    </row>
    <row r="59" spans="1:13" s="137" customFormat="1" ht="20.25" customHeight="1" x14ac:dyDescent="0.25">
      <c r="A59" s="131">
        <f t="shared" si="0"/>
        <v>58</v>
      </c>
      <c r="B59" s="146" t="s">
        <v>93</v>
      </c>
      <c r="C59" s="146" t="s">
        <v>252</v>
      </c>
      <c r="D59" s="145" t="s">
        <v>154</v>
      </c>
      <c r="E59" s="147">
        <v>120190512362</v>
      </c>
      <c r="F59" s="145" t="s">
        <v>175</v>
      </c>
      <c r="G59" s="148" t="s">
        <v>38</v>
      </c>
      <c r="H59" s="148" t="s">
        <v>31</v>
      </c>
      <c r="I59" s="149">
        <v>43576</v>
      </c>
      <c r="J59" s="137" t="s">
        <v>361</v>
      </c>
      <c r="K59" s="137" t="str">
        <f>_xlfn.LET(
_xlpm.policy,$J59,
_xlpm.st,TRIM($G59),
_xlpm.code,
IF(OR(_xlpm.st="الموظف",_xlpm.st="موظفة",_xlpm.st="موظف"),"",
IFERROR(
CHOOSE(MATCH(_xlpm.st,{"زوجة","زوج","ابن","ابنة","اب","ام"},0),
"W","H","S","D","F","M"),
""
)),
_xlpm.serial,
IF(_xlpm.code="","",
1+COUNTIFS($J$2:J59,_xlpm.policy,$G$2:G59,_xlpm.st)-1
),
_xlpm.policy &amp; _xlpm.code &amp; _xlpm.serial
)</f>
        <v>O3G20250015S2</v>
      </c>
    </row>
    <row r="60" spans="1:13" s="137" customFormat="1" ht="20.25" customHeight="1" thickBot="1" x14ac:dyDescent="0.3">
      <c r="A60" s="131">
        <f t="shared" si="0"/>
        <v>59</v>
      </c>
      <c r="B60" s="150" t="s">
        <v>94</v>
      </c>
      <c r="C60" s="150" t="s">
        <v>253</v>
      </c>
      <c r="D60" s="151" t="s">
        <v>154</v>
      </c>
      <c r="E60" s="152">
        <v>120210182306</v>
      </c>
      <c r="F60" s="151" t="s">
        <v>176</v>
      </c>
      <c r="G60" s="153" t="s">
        <v>38</v>
      </c>
      <c r="H60" s="153" t="s">
        <v>31</v>
      </c>
      <c r="I60" s="154">
        <v>44225</v>
      </c>
      <c r="J60" s="137" t="s">
        <v>361</v>
      </c>
      <c r="K60" s="137" t="str">
        <f>_xlfn.LET(
_xlpm.policy,$J60,
_xlpm.st,TRIM($G60),
_xlpm.code,
IF(OR(_xlpm.st="الموظف",_xlpm.st="موظفة",_xlpm.st="موظف"),"",
IFERROR(
CHOOSE(MATCH(_xlpm.st,{"زوجة","زوج","ابن","ابنة","اب","ام"},0),
"W","H","S","D","F","M"),
""
)),
_xlpm.serial,
IF(_xlpm.code="","",
1+COUNTIFS($J$2:J60,_xlpm.policy,$G$2:G60,_xlpm.st)-1
),
_xlpm.policy &amp; _xlpm.code &amp; _xlpm.serial
)</f>
        <v>O3G20250015S3</v>
      </c>
    </row>
    <row r="61" spans="1:13" ht="20.25" customHeight="1" thickTop="1" x14ac:dyDescent="0.25">
      <c r="A61" s="57">
        <f t="shared" si="0"/>
        <v>60</v>
      </c>
      <c r="B61" s="11" t="s">
        <v>13</v>
      </c>
      <c r="C61" s="11" t="s">
        <v>254</v>
      </c>
      <c r="D61" s="20" t="s">
        <v>154</v>
      </c>
      <c r="E61" s="12">
        <v>119940081414</v>
      </c>
      <c r="F61" s="35" t="s">
        <v>180</v>
      </c>
      <c r="G61" s="15" t="s">
        <v>30</v>
      </c>
      <c r="H61" s="15" t="s">
        <v>31</v>
      </c>
      <c r="I61" s="117">
        <v>34687</v>
      </c>
      <c r="J61" t="s">
        <v>362</v>
      </c>
      <c r="K61" t="str">
        <f>_xlfn.LET(
_xlpm.policy,$J61,
_xlpm.st,TRIM($G61),
_xlpm.code,
IF(OR(_xlpm.st="الموظف",_xlpm.st="موظفة",_xlpm.st="موظف"),"",
IFERROR(
CHOOSE(MATCH(_xlpm.st,{"زوجة","زوج","ابن","ابنة","اب","ام"},0),
"W","H","S","D","F","M"),
""
)),
_xlpm.serial,
IF(_xlpm.code="","",
1+COUNTIFS($J$2:J61,_xlpm.policy,$G$2:G61,_xlpm.st)-1
),
_xlpm.policy &amp; _xlpm.code &amp; _xlpm.serial
)</f>
        <v>O3G20250016</v>
      </c>
      <c r="L61" s="71" t="s">
        <v>388</v>
      </c>
      <c r="M61" s="71" t="s">
        <v>389</v>
      </c>
    </row>
    <row r="62" spans="1:13" ht="20.25" customHeight="1" x14ac:dyDescent="0.25">
      <c r="A62" s="57">
        <f t="shared" si="0"/>
        <v>61</v>
      </c>
      <c r="B62" s="8" t="s">
        <v>96</v>
      </c>
      <c r="C62" s="8" t="s">
        <v>255</v>
      </c>
      <c r="D62" s="18" t="s">
        <v>154</v>
      </c>
      <c r="E62" s="6">
        <v>219950273318</v>
      </c>
      <c r="F62" s="36" t="s">
        <v>181</v>
      </c>
      <c r="G62" s="16" t="s">
        <v>29</v>
      </c>
      <c r="H62" s="16" t="s">
        <v>32</v>
      </c>
      <c r="I62" s="111">
        <v>34730</v>
      </c>
      <c r="J62" t="s">
        <v>362</v>
      </c>
      <c r="K62" t="str">
        <f>_xlfn.LET(
_xlpm.policy,$J62,
_xlpm.st,TRIM($G62),
_xlpm.code,
IF(OR(_xlpm.st="الموظف",_xlpm.st="موظفة",_xlpm.st="موظف"),"",
IFERROR(
CHOOSE(MATCH(_xlpm.st,{"زوجة","زوج","ابن","ابنة","اب","ام"},0),
"W","H","S","D","F","M"),
""
)),
_xlpm.serial,
IF(_xlpm.code="","",
1+COUNTIFS($J$2:J62,_xlpm.policy,$G$2:G62,_xlpm.st)-1
),
_xlpm.policy &amp; _xlpm.code &amp; _xlpm.serial
)</f>
        <v>O3G20250016W1</v>
      </c>
      <c r="L62" s="71" t="s">
        <v>388</v>
      </c>
      <c r="M62" s="71" t="s">
        <v>389</v>
      </c>
    </row>
    <row r="63" spans="1:13" ht="20.25" customHeight="1" thickBot="1" x14ac:dyDescent="0.3">
      <c r="A63" s="57">
        <f t="shared" si="0"/>
        <v>62</v>
      </c>
      <c r="B63" s="9" t="s">
        <v>97</v>
      </c>
      <c r="C63" s="9" t="s">
        <v>256</v>
      </c>
      <c r="D63" s="19" t="s">
        <v>154</v>
      </c>
      <c r="E63" s="7">
        <v>120240768152</v>
      </c>
      <c r="F63" s="48" t="s">
        <v>55</v>
      </c>
      <c r="G63" s="14" t="s">
        <v>38</v>
      </c>
      <c r="H63" s="14" t="s">
        <v>31</v>
      </c>
      <c r="I63" s="115">
        <v>45818</v>
      </c>
      <c r="J63" t="s">
        <v>362</v>
      </c>
      <c r="K63" t="str">
        <f>_xlfn.LET(
_xlpm.policy,$J63,
_xlpm.st,TRIM($G63),
_xlpm.code,
IF(OR(_xlpm.st="الموظف",_xlpm.st="موظفة",_xlpm.st="موظف"),"",
IFERROR(
CHOOSE(MATCH(_xlpm.st,{"زوجة","زوج","ابن","ابنة","اب","ام"},0),
"W","H","S","D","F","M"),
""
)),
_xlpm.serial,
IF(_xlpm.code="","",
1+COUNTIFS($J$2:J63,_xlpm.policy,$G$2:G63,_xlpm.st)-1
),
_xlpm.policy &amp; _xlpm.code &amp; _xlpm.serial
)</f>
        <v>O3G20250016S1</v>
      </c>
      <c r="L63" s="71" t="s">
        <v>388</v>
      </c>
      <c r="M63" s="71" t="s">
        <v>389</v>
      </c>
    </row>
    <row r="64" spans="1:13" ht="20.25" customHeight="1" thickTop="1" thickBot="1" x14ac:dyDescent="0.3">
      <c r="A64" s="57">
        <f t="shared" si="0"/>
        <v>63</v>
      </c>
      <c r="B64" s="29" t="s">
        <v>14</v>
      </c>
      <c r="C64" s="29" t="s">
        <v>257</v>
      </c>
      <c r="D64" s="31" t="s">
        <v>154</v>
      </c>
      <c r="E64" s="30">
        <v>220020409702</v>
      </c>
      <c r="F64" s="31" t="s">
        <v>98</v>
      </c>
      <c r="G64" s="34" t="s">
        <v>30</v>
      </c>
      <c r="H64" s="34" t="s">
        <v>32</v>
      </c>
      <c r="I64" s="118">
        <v>37333</v>
      </c>
      <c r="J64" t="s">
        <v>363</v>
      </c>
      <c r="K64" t="str">
        <f>_xlfn.LET(
_xlpm.policy,$J64,
_xlpm.st,TRIM($G64),
_xlpm.code,
IF(OR(_xlpm.st="الموظف",_xlpm.st="موظفة",_xlpm.st="موظف"),"",
IFERROR(
CHOOSE(MATCH(_xlpm.st,{"زوجة","زوج","ابن","ابنة","اب","ام"},0),
"W","H","S","D","F","M"),
""
)),
_xlpm.serial,
IF(_xlpm.code="","",
1+COUNTIFS($J$2:J64,_xlpm.policy,$G$2:G64,_xlpm.st)-1
),
_xlpm.policy &amp; _xlpm.code &amp; _xlpm.serial
)</f>
        <v>O3G20250017</v>
      </c>
      <c r="L64" s="71" t="s">
        <v>388</v>
      </c>
      <c r="M64" s="71" t="s">
        <v>389</v>
      </c>
    </row>
    <row r="65" spans="1:13" ht="20.25" customHeight="1" thickTop="1" thickBot="1" x14ac:dyDescent="0.3">
      <c r="A65" s="57">
        <f t="shared" si="0"/>
        <v>64</v>
      </c>
      <c r="B65" s="29" t="s">
        <v>15</v>
      </c>
      <c r="C65" s="29" t="s">
        <v>258</v>
      </c>
      <c r="D65" s="31" t="s">
        <v>154</v>
      </c>
      <c r="E65" s="30">
        <v>119980534268</v>
      </c>
      <c r="F65" s="31" t="s">
        <v>99</v>
      </c>
      <c r="G65" s="34" t="s">
        <v>30</v>
      </c>
      <c r="H65" s="34" t="s">
        <v>31</v>
      </c>
      <c r="I65" s="118">
        <v>35937</v>
      </c>
      <c r="J65" t="s">
        <v>364</v>
      </c>
      <c r="K65" t="str">
        <f>_xlfn.LET(
_xlpm.policy,$J65,
_xlpm.st,TRIM($G65),
_xlpm.code,
IF(OR(_xlpm.st="الموظف",_xlpm.st="موظفة",_xlpm.st="موظف"),"",
IFERROR(
CHOOSE(MATCH(_xlpm.st,{"زوجة","زوج","ابن","ابنة","اب","ام"},0),
"W","H","S","D","F","M"),
""
)),
_xlpm.serial,
IF(_xlpm.code="","",
1+COUNTIFS($J$2:J65,_xlpm.policy,$G$2:G65,_xlpm.st)-1
),
_xlpm.policy &amp; _xlpm.code &amp; _xlpm.serial
)</f>
        <v>O3G20250018</v>
      </c>
      <c r="L65" s="71" t="s">
        <v>388</v>
      </c>
      <c r="M65" s="71" t="s">
        <v>389</v>
      </c>
    </row>
    <row r="66" spans="1:13" ht="20.25" customHeight="1" thickTop="1" thickBot="1" x14ac:dyDescent="0.3">
      <c r="A66" s="57">
        <f t="shared" ref="A66:A114" si="1">A65+1</f>
        <v>65</v>
      </c>
      <c r="B66" s="29" t="s">
        <v>16</v>
      </c>
      <c r="C66" s="29" t="s">
        <v>259</v>
      </c>
      <c r="D66" s="31" t="s">
        <v>154</v>
      </c>
      <c r="E66" s="30">
        <v>119930052129</v>
      </c>
      <c r="F66" s="31" t="s">
        <v>100</v>
      </c>
      <c r="G66" s="34" t="s">
        <v>30</v>
      </c>
      <c r="H66" s="34" t="s">
        <v>31</v>
      </c>
      <c r="I66" s="118">
        <v>34287</v>
      </c>
      <c r="J66" t="s">
        <v>365</v>
      </c>
      <c r="K66" t="str">
        <f>_xlfn.LET(
_xlpm.policy,$J66,
_xlpm.st,TRIM($G66),
_xlpm.code,
IF(OR(_xlpm.st="الموظف",_xlpm.st="موظفة",_xlpm.st="موظف"),"",
IFERROR(
CHOOSE(MATCH(_xlpm.st,{"زوجة","زوج","ابن","ابنة","اب","ام"},0),
"W","H","S","D","F","M"),
""
)),
_xlpm.serial,
IF(_xlpm.code="","",
1+COUNTIFS($J$2:J66,_xlpm.policy,$G$2:G66,_xlpm.st)-1
),
_xlpm.policy &amp; _xlpm.code &amp; _xlpm.serial
)</f>
        <v>O3G20250019</v>
      </c>
      <c r="L66" s="71" t="s">
        <v>388</v>
      </c>
      <c r="M66" s="71" t="s">
        <v>389</v>
      </c>
    </row>
    <row r="67" spans="1:13" ht="20.25" customHeight="1" thickTop="1" thickBot="1" x14ac:dyDescent="0.3">
      <c r="A67" s="57">
        <f t="shared" si="1"/>
        <v>66</v>
      </c>
      <c r="B67" s="38" t="s">
        <v>17</v>
      </c>
      <c r="C67" s="38" t="s">
        <v>260</v>
      </c>
      <c r="D67" s="31" t="s">
        <v>154</v>
      </c>
      <c r="E67" s="30">
        <v>119920179607</v>
      </c>
      <c r="F67" s="31" t="s">
        <v>105</v>
      </c>
      <c r="G67" s="34" t="s">
        <v>30</v>
      </c>
      <c r="H67" s="34" t="s">
        <v>31</v>
      </c>
      <c r="I67" s="118">
        <v>33966</v>
      </c>
      <c r="J67" t="s">
        <v>366</v>
      </c>
      <c r="K67" t="str">
        <f>_xlfn.LET(
_xlpm.policy,$J67,
_xlpm.st,TRIM($G67),
_xlpm.code,
IF(OR(_xlpm.st="الموظف",_xlpm.st="موظفة",_xlpm.st="موظف"),"",
IFERROR(
CHOOSE(MATCH(_xlpm.st,{"زوجة","زوج","ابن","ابنة","اب","ام"},0),
"W","H","S","D","F","M"),
""
)),
_xlpm.serial,
IF(_xlpm.code="","",
1+COUNTIFS($J$2:J67,_xlpm.policy,$G$2:G67,_xlpm.st)-1
),
_xlpm.policy &amp; _xlpm.code &amp; _xlpm.serial
)</f>
        <v>O3G20250020</v>
      </c>
      <c r="L67" s="71" t="s">
        <v>388</v>
      </c>
      <c r="M67" s="71" t="s">
        <v>389</v>
      </c>
    </row>
    <row r="68" spans="1:13" ht="20.25" customHeight="1" thickTop="1" x14ac:dyDescent="0.25">
      <c r="A68" s="57">
        <f t="shared" si="1"/>
        <v>67</v>
      </c>
      <c r="B68" s="11" t="s">
        <v>18</v>
      </c>
      <c r="C68" s="11" t="s">
        <v>261</v>
      </c>
      <c r="D68" s="20" t="s">
        <v>154</v>
      </c>
      <c r="E68" s="12">
        <v>119890176189</v>
      </c>
      <c r="F68" s="35" t="s">
        <v>186</v>
      </c>
      <c r="G68" s="15" t="s">
        <v>30</v>
      </c>
      <c r="H68" s="15" t="s">
        <v>31</v>
      </c>
      <c r="I68" s="117">
        <v>32761</v>
      </c>
      <c r="J68" t="s">
        <v>367</v>
      </c>
      <c r="K68" t="str">
        <f>_xlfn.LET(
_xlpm.policy,$J68,
_xlpm.st,TRIM($G68),
_xlpm.code,
IF(OR(_xlpm.st="الموظف",_xlpm.st="موظفة",_xlpm.st="موظف"),"",
IFERROR(
CHOOSE(MATCH(_xlpm.st,{"زوجة","زوج","ابن","ابنة","اب","ام"},0),
"W","H","S","D","F","M"),
""
)),
_xlpm.serial,
IF(_xlpm.code="","",
1+COUNTIFS($J$2:J68,_xlpm.policy,$G$2:G68,_xlpm.st)-1
),
_xlpm.policy &amp; _xlpm.code &amp; _xlpm.serial
)</f>
        <v>O3G20250021</v>
      </c>
      <c r="L68" s="71" t="s">
        <v>388</v>
      </c>
      <c r="M68" s="71" t="s">
        <v>389</v>
      </c>
    </row>
    <row r="69" spans="1:13" ht="20.25" customHeight="1" x14ac:dyDescent="0.25">
      <c r="A69" s="57">
        <f t="shared" si="1"/>
        <v>68</v>
      </c>
      <c r="B69" s="21" t="s">
        <v>106</v>
      </c>
      <c r="C69" s="21" t="s">
        <v>262</v>
      </c>
      <c r="D69" s="18" t="s">
        <v>154</v>
      </c>
      <c r="E69" s="12">
        <v>220030515338</v>
      </c>
      <c r="F69" s="35" t="s">
        <v>187</v>
      </c>
      <c r="G69" s="15" t="s">
        <v>29</v>
      </c>
      <c r="H69" s="15" t="s">
        <v>32</v>
      </c>
      <c r="I69" s="117">
        <v>37681</v>
      </c>
      <c r="J69" t="s">
        <v>367</v>
      </c>
      <c r="K69" t="str">
        <f>_xlfn.LET(
_xlpm.policy,$J69,
_xlpm.st,TRIM($G69),
_xlpm.code,
IF(OR(_xlpm.st="الموظف",_xlpm.st="موظفة",_xlpm.st="موظف"),"",
IFERROR(
CHOOSE(MATCH(_xlpm.st,{"زوجة","زوج","ابن","ابنة","اب","ام"},0),
"W","H","S","D","F","M"),
""
)),
_xlpm.serial,
IF(_xlpm.code="","",
1+COUNTIFS($J$2:J69,_xlpm.policy,$G$2:G69,_xlpm.st)-1
),
_xlpm.policy &amp; _xlpm.code &amp; _xlpm.serial
)</f>
        <v>O3G20250021W1</v>
      </c>
      <c r="L69" s="71" t="s">
        <v>388</v>
      </c>
      <c r="M69" s="71" t="s">
        <v>389</v>
      </c>
    </row>
    <row r="70" spans="1:13" ht="20.25" customHeight="1" x14ac:dyDescent="0.25">
      <c r="A70" s="57">
        <f t="shared" si="1"/>
        <v>69</v>
      </c>
      <c r="B70" s="8" t="s">
        <v>107</v>
      </c>
      <c r="C70" s="8" t="s">
        <v>263</v>
      </c>
      <c r="D70" s="18" t="s">
        <v>154</v>
      </c>
      <c r="E70" s="6">
        <v>2202301668995</v>
      </c>
      <c r="F70" s="36" t="s">
        <v>188</v>
      </c>
      <c r="G70" s="16" t="s">
        <v>39</v>
      </c>
      <c r="H70" s="16" t="s">
        <v>32</v>
      </c>
      <c r="I70" s="111">
        <v>45110</v>
      </c>
      <c r="J70" t="s">
        <v>367</v>
      </c>
      <c r="K70" t="str">
        <f>_xlfn.LET(
_xlpm.policy,$J70,
_xlpm.st,TRIM($G70),
_xlpm.code,
IF(OR(_xlpm.st="الموظف",_xlpm.st="موظفة",_xlpm.st="موظف"),"",
IFERROR(
CHOOSE(MATCH(_xlpm.st,{"زوجة","زوج","ابن","ابنة","اب","ام"},0),
"W","H","S","D","F","M"),
""
)),
_xlpm.serial,
IF(_xlpm.code="","",
1+COUNTIFS($J$2:J70,_xlpm.policy,$G$2:G70,_xlpm.st)-1
),
_xlpm.policy &amp; _xlpm.code &amp; _xlpm.serial
)</f>
        <v>O3G20250021D1</v>
      </c>
      <c r="L70" s="71" t="s">
        <v>388</v>
      </c>
      <c r="M70" s="71" t="s">
        <v>389</v>
      </c>
    </row>
    <row r="71" spans="1:13" ht="20.25" customHeight="1" thickBot="1" x14ac:dyDescent="0.3">
      <c r="A71" s="57">
        <f t="shared" si="1"/>
        <v>70</v>
      </c>
      <c r="B71" s="9" t="s">
        <v>108</v>
      </c>
      <c r="C71" s="9" t="s">
        <v>264</v>
      </c>
      <c r="D71" s="19" t="s">
        <v>154</v>
      </c>
      <c r="E71" s="7">
        <v>120250888084</v>
      </c>
      <c r="F71" s="48" t="s">
        <v>55</v>
      </c>
      <c r="G71" s="14" t="s">
        <v>38</v>
      </c>
      <c r="H71" s="14" t="s">
        <v>31</v>
      </c>
      <c r="I71" s="112">
        <v>45789</v>
      </c>
      <c r="J71" t="s">
        <v>367</v>
      </c>
      <c r="K71" t="str">
        <f>_xlfn.LET(
_xlpm.policy,$J71,
_xlpm.st,TRIM($G71),
_xlpm.code,
IF(OR(_xlpm.st="الموظف",_xlpm.st="موظفة",_xlpm.st="موظف"),"",
IFERROR(
CHOOSE(MATCH(_xlpm.st,{"زوجة","زوج","ابن","ابنة","اب","ام"},0),
"W","H","S","D","F","M"),
""
)),
_xlpm.serial,
IF(_xlpm.code="","",
1+COUNTIFS($J$2:J71,_xlpm.policy,$G$2:G71,_xlpm.st)-1
),
_xlpm.policy &amp; _xlpm.code &amp; _xlpm.serial
)</f>
        <v>O3G20250021S1</v>
      </c>
      <c r="L71" s="71" t="s">
        <v>388</v>
      </c>
      <c r="M71" s="71" t="s">
        <v>389</v>
      </c>
    </row>
    <row r="72" spans="1:13" ht="20.25" customHeight="1" thickTop="1" x14ac:dyDescent="0.25">
      <c r="A72" s="57">
        <f t="shared" si="1"/>
        <v>71</v>
      </c>
      <c r="B72" s="11" t="s">
        <v>19</v>
      </c>
      <c r="C72" s="11" t="s">
        <v>265</v>
      </c>
      <c r="D72" s="20" t="s">
        <v>154</v>
      </c>
      <c r="E72" s="12">
        <v>119790195099</v>
      </c>
      <c r="F72" s="20" t="s">
        <v>114</v>
      </c>
      <c r="G72" s="15" t="s">
        <v>30</v>
      </c>
      <c r="H72" s="15" t="s">
        <v>31</v>
      </c>
      <c r="I72" s="117">
        <v>29044</v>
      </c>
      <c r="J72" t="s">
        <v>368</v>
      </c>
      <c r="K72" t="str">
        <f>_xlfn.LET(
_xlpm.policy,$J72,
_xlpm.st,TRIM($G72),
_xlpm.code,
IF(OR(_xlpm.st="الموظف",_xlpm.st="موظفة",_xlpm.st="موظف"),"",
IFERROR(
CHOOSE(MATCH(_xlpm.st,{"زوجة","زوج","ابن","ابنة","اب","ام"},0),
"W","H","S","D","F","M"),
""
)),
_xlpm.serial,
IF(_xlpm.code="","",
1+COUNTIFS($J$2:J72,_xlpm.policy,$G$2:G72,_xlpm.st)-1
),
_xlpm.policy &amp; _xlpm.code &amp; _xlpm.serial
)</f>
        <v>O3G20250022</v>
      </c>
      <c r="L72" s="71" t="s">
        <v>388</v>
      </c>
      <c r="M72" s="71" t="s">
        <v>389</v>
      </c>
    </row>
    <row r="73" spans="1:13" ht="20.25" customHeight="1" x14ac:dyDescent="0.25">
      <c r="A73" s="57">
        <f t="shared" si="1"/>
        <v>72</v>
      </c>
      <c r="B73" s="21" t="s">
        <v>109</v>
      </c>
      <c r="C73" s="21" t="s">
        <v>266</v>
      </c>
      <c r="D73" s="18" t="s">
        <v>154</v>
      </c>
      <c r="E73" s="12">
        <v>219940109618</v>
      </c>
      <c r="F73" s="20" t="s">
        <v>115</v>
      </c>
      <c r="G73" s="15" t="s">
        <v>29</v>
      </c>
      <c r="H73" s="15" t="s">
        <v>32</v>
      </c>
      <c r="I73" s="117">
        <v>34416</v>
      </c>
      <c r="J73" t="s">
        <v>368</v>
      </c>
      <c r="K73" t="str">
        <f>_xlfn.LET(
_xlpm.policy,$J73,
_xlpm.st,TRIM($G73),
_xlpm.code,
IF(OR(_xlpm.st="الموظف",_xlpm.st="موظفة",_xlpm.st="موظف"),"",
IFERROR(
CHOOSE(MATCH(_xlpm.st,{"زوجة","زوج","ابن","ابنة","اب","ام"},0),
"W","H","S","D","F","M"),
""
)),
_xlpm.serial,
IF(_xlpm.code="","",
1+COUNTIFS($J$2:J73,_xlpm.policy,$G$2:G73,_xlpm.st)-1
),
_xlpm.policy &amp; _xlpm.code &amp; _xlpm.serial
)</f>
        <v>O3G20250022W1</v>
      </c>
      <c r="L73" s="71" t="s">
        <v>388</v>
      </c>
      <c r="M73" s="71" t="s">
        <v>389</v>
      </c>
    </row>
    <row r="74" spans="1:13" ht="20.25" customHeight="1" x14ac:dyDescent="0.25">
      <c r="A74" s="57">
        <f t="shared" si="1"/>
        <v>73</v>
      </c>
      <c r="B74" s="21" t="s">
        <v>111</v>
      </c>
      <c r="C74" s="21" t="s">
        <v>268</v>
      </c>
      <c r="D74" s="18" t="s">
        <v>154</v>
      </c>
      <c r="E74" s="12">
        <v>120140713917</v>
      </c>
      <c r="F74" s="20" t="s">
        <v>116</v>
      </c>
      <c r="G74" s="15" t="s">
        <v>38</v>
      </c>
      <c r="H74" s="15" t="s">
        <v>31</v>
      </c>
      <c r="I74" s="117">
        <v>41892</v>
      </c>
      <c r="J74" t="s">
        <v>368</v>
      </c>
      <c r="K74" t="str">
        <f>_xlfn.LET(
_xlpm.policy,$J74,
_xlpm.st,TRIM($G74),
_xlpm.code,
IF(OR(_xlpm.st="الموظف",_xlpm.st="موظفة",_xlpm.st="موظف"),"",
IFERROR(
CHOOSE(MATCH(_xlpm.st,{"زوجة","زوج","ابن","ابنة","اب","ام"},0),
"W","H","S","D","F","M"),
""
)),
_xlpm.serial,
IF(_xlpm.code="","",
1+COUNTIFS($J$2:J74,_xlpm.policy,$G$2:G74,_xlpm.st)-1
),
_xlpm.policy &amp; _xlpm.code &amp; _xlpm.serial
)</f>
        <v>O3G20250022S1</v>
      </c>
      <c r="L74" s="71" t="s">
        <v>388</v>
      </c>
      <c r="M74" s="71" t="s">
        <v>389</v>
      </c>
    </row>
    <row r="75" spans="1:13" ht="20.25" customHeight="1" x14ac:dyDescent="0.25">
      <c r="A75" s="57">
        <f t="shared" si="1"/>
        <v>74</v>
      </c>
      <c r="B75" s="21" t="s">
        <v>110</v>
      </c>
      <c r="C75" s="21" t="s">
        <v>269</v>
      </c>
      <c r="D75" s="18" t="s">
        <v>154</v>
      </c>
      <c r="E75" s="12">
        <v>220160906279</v>
      </c>
      <c r="F75" s="20" t="s">
        <v>117</v>
      </c>
      <c r="G75" s="15" t="s">
        <v>39</v>
      </c>
      <c r="H75" s="15" t="s">
        <v>32</v>
      </c>
      <c r="I75" s="117">
        <v>42693</v>
      </c>
      <c r="J75" t="s">
        <v>368</v>
      </c>
      <c r="K75" t="str">
        <f>_xlfn.LET(
_xlpm.policy,$J75,
_xlpm.st,TRIM($G75),
_xlpm.code,
IF(OR(_xlpm.st="الموظف",_xlpm.st="موظفة",_xlpm.st="موظف"),"",
IFERROR(
CHOOSE(MATCH(_xlpm.st,{"زوجة","زوج","ابن","ابنة","اب","ام"},0),
"W","H","S","D","F","M"),
""
)),
_xlpm.serial,
IF(_xlpm.code="","",
1+COUNTIFS($J$2:J75,_xlpm.policy,$G$2:G75,_xlpm.st)-1
),
_xlpm.policy &amp; _xlpm.code &amp; _xlpm.serial
)</f>
        <v>O3G20250022D1</v>
      </c>
      <c r="L75" s="71" t="s">
        <v>388</v>
      </c>
      <c r="M75" s="71" t="s">
        <v>389</v>
      </c>
    </row>
    <row r="76" spans="1:13" ht="20.25" customHeight="1" x14ac:dyDescent="0.25">
      <c r="A76" s="57">
        <f t="shared" si="1"/>
        <v>75</v>
      </c>
      <c r="B76" s="21" t="s">
        <v>112</v>
      </c>
      <c r="C76" s="21" t="s">
        <v>267</v>
      </c>
      <c r="D76" s="18" t="s">
        <v>154</v>
      </c>
      <c r="E76" s="12">
        <v>120220154926</v>
      </c>
      <c r="F76" s="20" t="s">
        <v>118</v>
      </c>
      <c r="G76" s="15" t="s">
        <v>38</v>
      </c>
      <c r="H76" s="15" t="s">
        <v>31</v>
      </c>
      <c r="I76" s="117">
        <v>44897</v>
      </c>
      <c r="J76" t="s">
        <v>368</v>
      </c>
      <c r="K76" t="str">
        <f>_xlfn.LET(
_xlpm.policy,$J76,
_xlpm.st,TRIM($G76),
_xlpm.code,
IF(OR(_xlpm.st="الموظف",_xlpm.st="موظفة",_xlpm.st="موظف"),"",
IFERROR(
CHOOSE(MATCH(_xlpm.st,{"زوجة","زوج","ابن","ابنة","اب","ام"},0),
"W","H","S","D","F","M"),
""
)),
_xlpm.serial,
IF(_xlpm.code="","",
1+COUNTIFS($J$2:J76,_xlpm.policy,$G$2:G76,_xlpm.st)-1
),
_xlpm.policy &amp; _xlpm.code &amp; _xlpm.serial
)</f>
        <v>O3G20250022S2</v>
      </c>
      <c r="L76" s="71" t="s">
        <v>388</v>
      </c>
      <c r="M76" s="71" t="s">
        <v>389</v>
      </c>
    </row>
    <row r="77" spans="1:13" ht="20.25" customHeight="1" thickBot="1" x14ac:dyDescent="0.3">
      <c r="A77" s="57">
        <f t="shared" si="1"/>
        <v>76</v>
      </c>
      <c r="B77" s="9" t="s">
        <v>113</v>
      </c>
      <c r="C77" s="9" t="s">
        <v>270</v>
      </c>
      <c r="D77" s="19" t="s">
        <v>154</v>
      </c>
      <c r="E77" s="7">
        <v>220240270739</v>
      </c>
      <c r="F77" s="49" t="s">
        <v>55</v>
      </c>
      <c r="G77" s="14" t="s">
        <v>39</v>
      </c>
      <c r="H77" s="14" t="s">
        <v>32</v>
      </c>
      <c r="I77" s="112">
        <v>45396</v>
      </c>
      <c r="J77" t="s">
        <v>368</v>
      </c>
      <c r="K77" t="str">
        <f>_xlfn.LET(
_xlpm.policy,$J77,
_xlpm.st,TRIM($G77),
_xlpm.code,
IF(OR(_xlpm.st="الموظف",_xlpm.st="موظفة",_xlpm.st="موظف"),"",
IFERROR(
CHOOSE(MATCH(_xlpm.st,{"زوجة","زوج","ابن","ابنة","اب","ام"},0),
"W","H","S","D","F","M"),
""
)),
_xlpm.serial,
IF(_xlpm.code="","",
1+COUNTIFS($J$2:J77,_xlpm.policy,$G$2:G77,_xlpm.st)-1
),
_xlpm.policy &amp; _xlpm.code &amp; _xlpm.serial
)</f>
        <v>O3G20250022D2</v>
      </c>
      <c r="L77" s="71" t="s">
        <v>388</v>
      </c>
      <c r="M77" s="71" t="s">
        <v>389</v>
      </c>
    </row>
    <row r="78" spans="1:13" ht="20.25" customHeight="1" thickTop="1" x14ac:dyDescent="0.25">
      <c r="A78" s="57">
        <f t="shared" si="1"/>
        <v>77</v>
      </c>
      <c r="B78" s="11" t="s">
        <v>20</v>
      </c>
      <c r="C78" s="11" t="s">
        <v>271</v>
      </c>
      <c r="D78" s="20" t="s">
        <v>154</v>
      </c>
      <c r="E78" s="12">
        <v>119860017098</v>
      </c>
      <c r="F78" s="20" t="s">
        <v>119</v>
      </c>
      <c r="G78" s="15" t="s">
        <v>30</v>
      </c>
      <c r="H78" s="15" t="s">
        <v>31</v>
      </c>
      <c r="I78" s="117">
        <v>31719</v>
      </c>
      <c r="J78" t="s">
        <v>369</v>
      </c>
      <c r="K78" t="str">
        <f>_xlfn.LET(
_xlpm.policy,$J78,
_xlpm.st,TRIM($G78),
_xlpm.code,
IF(OR(_xlpm.st="الموظف",_xlpm.st="موظفة",_xlpm.st="موظف"),"",
IFERROR(
CHOOSE(MATCH(_xlpm.st,{"زوجة","زوج","ابن","ابنة","اب","ام"},0),
"W","H","S","D","F","M"),
""
)),
_xlpm.serial,
IF(_xlpm.code="","",
1+COUNTIFS($J$2:J78,_xlpm.policy,$G$2:G78,_xlpm.st)-1
),
_xlpm.policy &amp; _xlpm.code &amp; _xlpm.serial
)</f>
        <v>O3G20250023</v>
      </c>
      <c r="L78" s="71" t="s">
        <v>388</v>
      </c>
      <c r="M78" s="71" t="s">
        <v>389</v>
      </c>
    </row>
    <row r="79" spans="1:13" ht="20.25" customHeight="1" x14ac:dyDescent="0.25">
      <c r="A79" s="57">
        <f t="shared" si="1"/>
        <v>78</v>
      </c>
      <c r="B79" s="21" t="s">
        <v>120</v>
      </c>
      <c r="C79" s="21" t="s">
        <v>272</v>
      </c>
      <c r="D79" s="18" t="s">
        <v>154</v>
      </c>
      <c r="E79" s="12">
        <v>219930135726</v>
      </c>
      <c r="F79" s="20" t="s">
        <v>123</v>
      </c>
      <c r="G79" s="15" t="s">
        <v>29</v>
      </c>
      <c r="H79" s="15" t="s">
        <v>32</v>
      </c>
      <c r="I79" s="117">
        <v>34208</v>
      </c>
      <c r="J79" t="s">
        <v>369</v>
      </c>
      <c r="K79" t="str">
        <f>_xlfn.LET(
_xlpm.policy,$J79,
_xlpm.st,TRIM($G79),
_xlpm.code,
IF(OR(_xlpm.st="الموظف",_xlpm.st="موظفة",_xlpm.st="موظف"),"",
IFERROR(
CHOOSE(MATCH(_xlpm.st,{"زوجة","زوج","ابن","ابنة","اب","ام"},0),
"W","H","S","D","F","M"),
""
)),
_xlpm.serial,
IF(_xlpm.code="","",
1+COUNTIFS($J$2:J79,_xlpm.policy,$G$2:G79,_xlpm.st)-1
),
_xlpm.policy &amp; _xlpm.code &amp; _xlpm.serial
)</f>
        <v>O3G20250023W1</v>
      </c>
      <c r="L79" s="71" t="s">
        <v>388</v>
      </c>
      <c r="M79" s="71" t="s">
        <v>389</v>
      </c>
    </row>
    <row r="80" spans="1:13" ht="20.25" customHeight="1" x14ac:dyDescent="0.25">
      <c r="A80" s="57">
        <f t="shared" si="1"/>
        <v>79</v>
      </c>
      <c r="B80" s="21" t="s">
        <v>121</v>
      </c>
      <c r="C80" s="21" t="s">
        <v>273</v>
      </c>
      <c r="D80" s="18" t="s">
        <v>154</v>
      </c>
      <c r="E80" s="12">
        <v>220190390509</v>
      </c>
      <c r="F80" s="20" t="s">
        <v>125</v>
      </c>
      <c r="G80" s="15" t="s">
        <v>39</v>
      </c>
      <c r="H80" s="15" t="s">
        <v>32</v>
      </c>
      <c r="I80" s="117">
        <v>43714</v>
      </c>
      <c r="J80" t="s">
        <v>369</v>
      </c>
      <c r="K80" t="str">
        <f>_xlfn.LET(
_xlpm.policy,$J80,
_xlpm.st,TRIM($G80),
_xlpm.code,
IF(OR(_xlpm.st="الموظف",_xlpm.st="موظفة",_xlpm.st="موظف"),"",
IFERROR(
CHOOSE(MATCH(_xlpm.st,{"زوجة","زوج","ابن","ابنة","اب","ام"},0),
"W","H","S","D","F","M"),
""
)),
_xlpm.serial,
IF(_xlpm.code="","",
1+COUNTIFS($J$2:J80,_xlpm.policy,$G$2:G80,_xlpm.st)-1
),
_xlpm.policy &amp; _xlpm.code &amp; _xlpm.serial
)</f>
        <v>O3G20250023D1</v>
      </c>
      <c r="L80" s="71" t="s">
        <v>388</v>
      </c>
      <c r="M80" s="71" t="s">
        <v>389</v>
      </c>
    </row>
    <row r="81" spans="1:13" ht="20.25" customHeight="1" thickBot="1" x14ac:dyDescent="0.3">
      <c r="A81" s="57">
        <f t="shared" si="1"/>
        <v>80</v>
      </c>
      <c r="B81" s="9" t="s">
        <v>122</v>
      </c>
      <c r="C81" s="9" t="s">
        <v>274</v>
      </c>
      <c r="D81" s="19" t="s">
        <v>154</v>
      </c>
      <c r="E81" s="7">
        <v>120230269726</v>
      </c>
      <c r="F81" s="19" t="s">
        <v>124</v>
      </c>
      <c r="G81" s="14" t="s">
        <v>38</v>
      </c>
      <c r="H81" s="14" t="s">
        <v>31</v>
      </c>
      <c r="I81" s="112">
        <v>45029</v>
      </c>
      <c r="J81" t="s">
        <v>369</v>
      </c>
      <c r="K81" t="str">
        <f>_xlfn.LET(
_xlpm.policy,$J81,
_xlpm.st,TRIM($G81),
_xlpm.code,
IF(OR(_xlpm.st="الموظف",_xlpm.st="موظفة",_xlpm.st="موظف"),"",
IFERROR(
CHOOSE(MATCH(_xlpm.st,{"زوجة","زوج","ابن","ابنة","اب","ام"},0),
"W","H","S","D","F","M"),
""
)),
_xlpm.serial,
IF(_xlpm.code="","",
1+COUNTIFS($J$2:J81,_xlpm.policy,$G$2:G81,_xlpm.st)-1
),
_xlpm.policy &amp; _xlpm.code &amp; _xlpm.serial
)</f>
        <v>O3G20250023S1</v>
      </c>
      <c r="L81" s="71" t="s">
        <v>388</v>
      </c>
      <c r="M81" s="71" t="s">
        <v>389</v>
      </c>
    </row>
    <row r="82" spans="1:13" ht="20.25" customHeight="1" thickTop="1" x14ac:dyDescent="0.25">
      <c r="A82" s="57">
        <f t="shared" si="1"/>
        <v>81</v>
      </c>
      <c r="B82" s="11" t="s">
        <v>21</v>
      </c>
      <c r="C82" s="11" t="s">
        <v>275</v>
      </c>
      <c r="D82" s="20" t="s">
        <v>154</v>
      </c>
      <c r="E82" s="12">
        <v>119940199841</v>
      </c>
      <c r="F82" s="21" t="s">
        <v>127</v>
      </c>
      <c r="G82" s="15" t="s">
        <v>30</v>
      </c>
      <c r="H82" s="15" t="s">
        <v>31</v>
      </c>
      <c r="I82" s="117">
        <v>34380</v>
      </c>
      <c r="J82" t="s">
        <v>370</v>
      </c>
      <c r="K82" t="str">
        <f>_xlfn.LET(
_xlpm.policy,$J82,
_xlpm.st,TRIM($G82),
_xlpm.code,
IF(OR(_xlpm.st="الموظف",_xlpm.st="موظفة",_xlpm.st="موظف"),"",
IFERROR(
CHOOSE(MATCH(_xlpm.st,{"زوجة","زوج","ابن","ابنة","اب","ام"},0),
"W","H","S","D","F","M"),
""
)),
_xlpm.serial,
IF(_xlpm.code="","",
1+COUNTIFS($J$2:J82,_xlpm.policy,$G$2:G82,_xlpm.st)-1
),
_xlpm.policy &amp; _xlpm.code &amp; _xlpm.serial
)</f>
        <v>O3G20250024</v>
      </c>
      <c r="L82" s="71" t="s">
        <v>388</v>
      </c>
      <c r="M82" s="71" t="s">
        <v>389</v>
      </c>
    </row>
    <row r="83" spans="1:13" ht="20.25" customHeight="1" thickBot="1" x14ac:dyDescent="0.3">
      <c r="A83" s="57">
        <f t="shared" si="1"/>
        <v>82</v>
      </c>
      <c r="B83" s="9" t="s">
        <v>126</v>
      </c>
      <c r="C83" s="9" t="s">
        <v>276</v>
      </c>
      <c r="D83" s="19" t="s">
        <v>154</v>
      </c>
      <c r="E83" s="7">
        <v>219990022051</v>
      </c>
      <c r="F83" s="24" t="s">
        <v>145</v>
      </c>
      <c r="G83" s="14" t="s">
        <v>29</v>
      </c>
      <c r="H83" s="14" t="s">
        <v>32</v>
      </c>
      <c r="I83" s="112">
        <v>36409</v>
      </c>
      <c r="J83" t="s">
        <v>370</v>
      </c>
      <c r="K83" t="str">
        <f>_xlfn.LET(
_xlpm.policy,$J83,
_xlpm.st,TRIM($G83),
_xlpm.code,
IF(OR(_xlpm.st="الموظف",_xlpm.st="موظفة",_xlpm.st="موظف"),"",
IFERROR(
CHOOSE(MATCH(_xlpm.st,{"زوجة","زوج","ابن","ابنة","اب","ام"},0),
"W","H","S","D","F","M"),
""
)),
_xlpm.serial,
IF(_xlpm.code="","",
1+COUNTIFS($J$2:J83,_xlpm.policy,$G$2:G83,_xlpm.st)-1
),
_xlpm.policy &amp; _xlpm.code &amp; _xlpm.serial
)</f>
        <v>O3G20250024W1</v>
      </c>
      <c r="L83" s="71" t="s">
        <v>388</v>
      </c>
      <c r="M83" s="71" t="s">
        <v>389</v>
      </c>
    </row>
    <row r="84" spans="1:13" ht="20.25" customHeight="1" thickTop="1" x14ac:dyDescent="0.25">
      <c r="A84" s="57">
        <f t="shared" si="1"/>
        <v>83</v>
      </c>
      <c r="B84" s="11" t="s">
        <v>22</v>
      </c>
      <c r="C84" s="11" t="s">
        <v>277</v>
      </c>
      <c r="D84" s="20" t="s">
        <v>154</v>
      </c>
      <c r="E84" s="12">
        <v>119890068882</v>
      </c>
      <c r="F84" s="20" t="s">
        <v>130</v>
      </c>
      <c r="G84" s="15" t="s">
        <v>30</v>
      </c>
      <c r="H84" s="15" t="s">
        <v>31</v>
      </c>
      <c r="I84" s="117">
        <v>32838</v>
      </c>
      <c r="J84" t="s">
        <v>371</v>
      </c>
      <c r="K84" t="str">
        <f>_xlfn.LET(
_xlpm.policy,$J84,
_xlpm.st,TRIM($G84),
_xlpm.code,
IF(OR(_xlpm.st="الموظف",_xlpm.st="موظفة",_xlpm.st="موظف"),"",
IFERROR(
CHOOSE(MATCH(_xlpm.st,{"زوجة","زوج","ابن","ابنة","اب","ام"},0),
"W","H","S","D","F","M"),
""
)),
_xlpm.serial,
IF(_xlpm.code="","",
1+COUNTIFS($J$2:J84,_xlpm.policy,$G$2:G84,_xlpm.st)-1
),
_xlpm.policy &amp; _xlpm.code &amp; _xlpm.serial
)</f>
        <v>O3G20250025</v>
      </c>
      <c r="L84" s="71" t="s">
        <v>388</v>
      </c>
      <c r="M84" s="71" t="s">
        <v>389</v>
      </c>
    </row>
    <row r="85" spans="1:13" ht="20.25" customHeight="1" x14ac:dyDescent="0.25">
      <c r="A85" s="57">
        <f t="shared" si="1"/>
        <v>84</v>
      </c>
      <c r="B85" s="21" t="s">
        <v>128</v>
      </c>
      <c r="C85" s="21" t="s">
        <v>278</v>
      </c>
      <c r="D85" s="18" t="s">
        <v>154</v>
      </c>
      <c r="E85" s="12">
        <v>219950054418</v>
      </c>
      <c r="F85" s="20" t="s">
        <v>129</v>
      </c>
      <c r="G85" s="15" t="s">
        <v>29</v>
      </c>
      <c r="H85" s="15" t="s">
        <v>32</v>
      </c>
      <c r="I85" s="117">
        <v>34737</v>
      </c>
      <c r="J85" t="s">
        <v>371</v>
      </c>
      <c r="K85" t="str">
        <f>_xlfn.LET(
_xlpm.policy,$J85,
_xlpm.st,TRIM($G85),
_xlpm.code,
IF(OR(_xlpm.st="الموظف",_xlpm.st="موظفة",_xlpm.st="موظف"),"",
IFERROR(
CHOOSE(MATCH(_xlpm.st,{"زوجة","زوج","ابن","ابنة","اب","ام"},0),
"W","H","S","D","F","M"),
""
)),
_xlpm.serial,
IF(_xlpm.code="","",
1+COUNTIFS($J$2:J85,_xlpm.policy,$G$2:G85,_xlpm.st)-1
),
_xlpm.policy &amp; _xlpm.code &amp; _xlpm.serial
)</f>
        <v>O3G20250025W1</v>
      </c>
      <c r="L85" s="71" t="s">
        <v>388</v>
      </c>
      <c r="M85" s="71" t="s">
        <v>389</v>
      </c>
    </row>
    <row r="86" spans="1:13" s="137" customFormat="1" ht="20.25" customHeight="1" thickBot="1" x14ac:dyDescent="0.3">
      <c r="A86" s="131">
        <f t="shared" si="1"/>
        <v>85</v>
      </c>
      <c r="B86" s="150" t="s">
        <v>146</v>
      </c>
      <c r="C86" s="150" t="s">
        <v>279</v>
      </c>
      <c r="D86" s="151" t="s">
        <v>154</v>
      </c>
      <c r="E86" s="155" t="s">
        <v>55</v>
      </c>
      <c r="F86" s="156" t="s">
        <v>55</v>
      </c>
      <c r="G86" s="153" t="s">
        <v>39</v>
      </c>
      <c r="H86" s="153" t="s">
        <v>32</v>
      </c>
      <c r="I86" s="154">
        <v>45728</v>
      </c>
      <c r="J86" s="137" t="s">
        <v>371</v>
      </c>
      <c r="K86" s="137" t="str">
        <f>_xlfn.LET(
_xlpm.policy,$J86,
_xlpm.st,TRIM($G86),
_xlpm.code,
IF(OR(_xlpm.st="الموظف",_xlpm.st="موظفة",_xlpm.st="موظف"),"",
IFERROR(
CHOOSE(MATCH(_xlpm.st,{"زوجة","زوج","ابن","ابنة","اب","ام"},0),
"W","H","S","D","F","M"),
""
)),
_xlpm.serial,
IF(_xlpm.code="","",
1+COUNTIFS($J$2:J86,_xlpm.policy,$G$2:G86,_xlpm.st)-1
),
_xlpm.policy &amp; _xlpm.code &amp; _xlpm.serial
)</f>
        <v>O3G20250025D1</v>
      </c>
    </row>
    <row r="87" spans="1:13" ht="20.25" customHeight="1" thickTop="1" x14ac:dyDescent="0.25">
      <c r="A87" s="57">
        <f t="shared" si="1"/>
        <v>86</v>
      </c>
      <c r="B87" s="11" t="s">
        <v>23</v>
      </c>
      <c r="C87" s="11" t="s">
        <v>280</v>
      </c>
      <c r="D87" s="20" t="s">
        <v>154</v>
      </c>
      <c r="E87" s="12">
        <v>119980347204</v>
      </c>
      <c r="F87" s="20" t="s">
        <v>132</v>
      </c>
      <c r="G87" s="15" t="s">
        <v>30</v>
      </c>
      <c r="H87" s="15" t="s">
        <v>31</v>
      </c>
      <c r="I87" s="117">
        <v>35887</v>
      </c>
      <c r="J87" t="s">
        <v>372</v>
      </c>
      <c r="K87" t="str">
        <f>_xlfn.LET(
_xlpm.policy,$J87,
_xlpm.st,TRIM($G87),
_xlpm.code,
IF(OR(_xlpm.st="الموظف",_xlpm.st="موظفة",_xlpm.st="موظف"),"",
IFERROR(
CHOOSE(MATCH(_xlpm.st,{"زوجة","زوج","ابن","ابنة","اب","ام"},0),
"W","H","S","D","F","M"),
""
)),
_xlpm.serial,
IF(_xlpm.code="","",
1+COUNTIFS($J$2:J87,_xlpm.policy,$G$2:G87,_xlpm.st)-1
),
_xlpm.policy &amp; _xlpm.code &amp; _xlpm.serial
)</f>
        <v>O3G20250026</v>
      </c>
      <c r="L87" s="71" t="s">
        <v>388</v>
      </c>
      <c r="M87" s="71" t="s">
        <v>389</v>
      </c>
    </row>
    <row r="88" spans="1:13" ht="20.25" customHeight="1" thickBot="1" x14ac:dyDescent="0.3">
      <c r="A88" s="57">
        <f t="shared" si="1"/>
        <v>87</v>
      </c>
      <c r="B88" s="9" t="s">
        <v>131</v>
      </c>
      <c r="C88" s="9" t="s">
        <v>281</v>
      </c>
      <c r="D88" s="19" t="s">
        <v>154</v>
      </c>
      <c r="E88" s="7">
        <v>219990558505</v>
      </c>
      <c r="F88" s="37" t="s">
        <v>144</v>
      </c>
      <c r="G88" s="14" t="s">
        <v>29</v>
      </c>
      <c r="H88" s="14" t="s">
        <v>32</v>
      </c>
      <c r="I88" s="112">
        <v>36513</v>
      </c>
      <c r="J88" t="s">
        <v>372</v>
      </c>
      <c r="K88" t="str">
        <f>_xlfn.LET(
_xlpm.policy,$J88,
_xlpm.st,TRIM($G88),
_xlpm.code,
IF(OR(_xlpm.st="الموظف",_xlpm.st="موظفة",_xlpm.st="موظف"),"",
IFERROR(
CHOOSE(MATCH(_xlpm.st,{"زوجة","زوج","ابن","ابنة","اب","ام"},0),
"W","H","S","D","F","M"),
""
)),
_xlpm.serial,
IF(_xlpm.code="","",
1+COUNTIFS($J$2:J88,_xlpm.policy,$G$2:G88,_xlpm.st)-1
),
_xlpm.policy &amp; _xlpm.code &amp; _xlpm.serial
)</f>
        <v>O3G20250026W1</v>
      </c>
      <c r="L88" s="71" t="s">
        <v>388</v>
      </c>
      <c r="M88" s="71" t="s">
        <v>389</v>
      </c>
    </row>
    <row r="89" spans="1:13" ht="20.25" customHeight="1" thickTop="1" thickBot="1" x14ac:dyDescent="0.3">
      <c r="A89" s="57">
        <f t="shared" si="1"/>
        <v>88</v>
      </c>
      <c r="B89" s="29" t="s">
        <v>24</v>
      </c>
      <c r="C89" s="29" t="s">
        <v>282</v>
      </c>
      <c r="D89" s="31" t="s">
        <v>154</v>
      </c>
      <c r="E89" s="30">
        <v>219970336015</v>
      </c>
      <c r="F89" s="31" t="s">
        <v>133</v>
      </c>
      <c r="G89" s="34" t="s">
        <v>30</v>
      </c>
      <c r="H89" s="34" t="s">
        <v>32</v>
      </c>
      <c r="I89" s="118">
        <v>35639</v>
      </c>
      <c r="J89" t="s">
        <v>373</v>
      </c>
      <c r="K89" t="str">
        <f>_xlfn.LET(
_xlpm.policy,$J89,
_xlpm.st,TRIM($G89),
_xlpm.code,
IF(OR(_xlpm.st="الموظف",_xlpm.st="موظفة",_xlpm.st="موظف"),"",
IFERROR(
CHOOSE(MATCH(_xlpm.st,{"زوجة","زوج","ابن","ابنة","اب","ام"},0),
"W","H","S","D","F","M"),
""
)),
_xlpm.serial,
IF(_xlpm.code="","",
1+COUNTIFS($J$2:J89,_xlpm.policy,$G$2:G89,_xlpm.st)-1
),
_xlpm.policy &amp; _xlpm.code &amp; _xlpm.serial
)</f>
        <v>O3G20250027</v>
      </c>
      <c r="L89" s="71" t="s">
        <v>388</v>
      </c>
      <c r="M89" s="71" t="s">
        <v>389</v>
      </c>
    </row>
    <row r="90" spans="1:13" ht="20.25" customHeight="1" thickTop="1" thickBot="1" x14ac:dyDescent="0.3">
      <c r="A90" s="57">
        <f t="shared" si="1"/>
        <v>89</v>
      </c>
      <c r="B90" s="29" t="s">
        <v>25</v>
      </c>
      <c r="C90" s="29" t="s">
        <v>283</v>
      </c>
      <c r="D90" s="31" t="s">
        <v>154</v>
      </c>
      <c r="E90" s="30">
        <v>220020269935</v>
      </c>
      <c r="F90" s="31" t="s">
        <v>134</v>
      </c>
      <c r="G90" s="34" t="s">
        <v>30</v>
      </c>
      <c r="H90" s="34" t="s">
        <v>32</v>
      </c>
      <c r="I90" s="118">
        <v>37586</v>
      </c>
      <c r="J90" t="s">
        <v>374</v>
      </c>
      <c r="K90" t="str">
        <f>_xlfn.LET(
_xlpm.policy,$J90,
_xlpm.st,TRIM($G90),
_xlpm.code,
IF(OR(_xlpm.st="الموظف",_xlpm.st="موظفة",_xlpm.st="موظف"),"",
IFERROR(
CHOOSE(MATCH(_xlpm.st,{"زوجة","زوج","ابن","ابنة","اب","ام"},0),
"W","H","S","D","F","M"),
""
)),
_xlpm.serial,
IF(_xlpm.code="","",
1+COUNTIFS($J$2:J90,_xlpm.policy,$G$2:G90,_xlpm.st)-1
),
_xlpm.policy &amp; _xlpm.code &amp; _xlpm.serial
)</f>
        <v>O3G20250028</v>
      </c>
      <c r="L90" s="71" t="s">
        <v>388</v>
      </c>
      <c r="M90" s="71" t="s">
        <v>389</v>
      </c>
    </row>
    <row r="91" spans="1:13" ht="20.25" customHeight="1" thickTop="1" thickBot="1" x14ac:dyDescent="0.3">
      <c r="A91" s="57">
        <f t="shared" si="1"/>
        <v>90</v>
      </c>
      <c r="B91" s="27" t="s">
        <v>26</v>
      </c>
      <c r="C91" s="27" t="s">
        <v>284</v>
      </c>
      <c r="D91" s="31" t="s">
        <v>154</v>
      </c>
      <c r="E91" s="25">
        <v>119960275022</v>
      </c>
      <c r="F91" s="26" t="s">
        <v>135</v>
      </c>
      <c r="G91" s="33" t="s">
        <v>30</v>
      </c>
      <c r="H91" s="33" t="s">
        <v>31</v>
      </c>
      <c r="I91" s="124">
        <v>35156</v>
      </c>
      <c r="J91" t="s">
        <v>375</v>
      </c>
      <c r="K91" t="str">
        <f>_xlfn.LET(
_xlpm.policy,$J91,
_xlpm.st,TRIM($G91),
_xlpm.code,
IF(OR(_xlpm.st="الموظف",_xlpm.st="موظفة",_xlpm.st="موظف"),"",
IFERROR(
CHOOSE(MATCH(_xlpm.st,{"زوجة","زوج","ابن","ابنة","اب","ام"},0),
"W","H","S","D","F","M"),
""
)),
_xlpm.serial,
IF(_xlpm.code="","",
1+COUNTIFS($J$2:J91,_xlpm.policy,$G$2:G91,_xlpm.st)-1
),
_xlpm.policy &amp; _xlpm.code &amp; _xlpm.serial
)</f>
        <v>O3G20250029</v>
      </c>
      <c r="L91" s="71" t="s">
        <v>388</v>
      </c>
      <c r="M91" s="71" t="s">
        <v>389</v>
      </c>
    </row>
    <row r="92" spans="1:13" ht="20.25" customHeight="1" thickTop="1" x14ac:dyDescent="0.25">
      <c r="A92" s="57">
        <f t="shared" si="1"/>
        <v>91</v>
      </c>
      <c r="B92" s="11" t="s">
        <v>136</v>
      </c>
      <c r="C92" s="11" t="s">
        <v>285</v>
      </c>
      <c r="D92" s="20" t="s">
        <v>154</v>
      </c>
      <c r="E92" s="12">
        <v>219900477382</v>
      </c>
      <c r="F92" s="20" t="s">
        <v>141</v>
      </c>
      <c r="G92" s="15" t="s">
        <v>30</v>
      </c>
      <c r="H92" s="15" t="s">
        <v>32</v>
      </c>
      <c r="I92" s="117">
        <v>33126</v>
      </c>
      <c r="J92" t="s">
        <v>376</v>
      </c>
      <c r="K92" t="str">
        <f>_xlfn.LET(
_xlpm.policy,$J92,
_xlpm.st,TRIM($G92),
_xlpm.code,
IF(OR(_xlpm.st="الموظف",_xlpm.st="موظفة",_xlpm.st="موظف"),"",
IFERROR(
CHOOSE(MATCH(_xlpm.st,{"زوجة","زوج","ابن","ابنة","اب","ام"},0),
"W","H","S","D","F","M"),
""
)),
_xlpm.serial,
IF(_xlpm.code="","",
1+COUNTIFS($J$2:J92,_xlpm.policy,$G$2:G92,_xlpm.st)-1
),
_xlpm.policy &amp; _xlpm.code &amp; _xlpm.serial
)</f>
        <v>O3G20250030</v>
      </c>
      <c r="L92" s="71" t="s">
        <v>388</v>
      </c>
      <c r="M92" s="71" t="s">
        <v>389</v>
      </c>
    </row>
    <row r="93" spans="1:13" ht="20.25" customHeight="1" x14ac:dyDescent="0.25">
      <c r="A93" s="57">
        <f t="shared" si="1"/>
        <v>92</v>
      </c>
      <c r="B93" s="21" t="s">
        <v>137</v>
      </c>
      <c r="C93" s="21" t="s">
        <v>286</v>
      </c>
      <c r="D93" s="18" t="s">
        <v>154</v>
      </c>
      <c r="E93" s="12">
        <v>119870491761</v>
      </c>
      <c r="F93" s="20" t="s">
        <v>142</v>
      </c>
      <c r="G93" s="15" t="s">
        <v>140</v>
      </c>
      <c r="H93" s="15" t="s">
        <v>31</v>
      </c>
      <c r="I93" s="117">
        <v>31780</v>
      </c>
      <c r="J93" t="s">
        <v>376</v>
      </c>
      <c r="K93" t="s">
        <v>380</v>
      </c>
      <c r="L93" s="71" t="s">
        <v>388</v>
      </c>
      <c r="M93" s="71" t="s">
        <v>389</v>
      </c>
    </row>
    <row r="94" spans="1:13" ht="20.25" customHeight="1" x14ac:dyDescent="0.25">
      <c r="A94" s="57">
        <f t="shared" si="1"/>
        <v>93</v>
      </c>
      <c r="B94" s="21" t="s">
        <v>138</v>
      </c>
      <c r="C94" s="21" t="s">
        <v>287</v>
      </c>
      <c r="D94" s="18" t="s">
        <v>154</v>
      </c>
      <c r="E94" s="12">
        <v>120220106941</v>
      </c>
      <c r="F94" s="20" t="s">
        <v>143</v>
      </c>
      <c r="G94" s="15" t="s">
        <v>87</v>
      </c>
      <c r="H94" s="15" t="s">
        <v>31</v>
      </c>
      <c r="I94" s="117">
        <v>44608</v>
      </c>
      <c r="J94" t="s">
        <v>376</v>
      </c>
      <c r="K94" t="s">
        <v>381</v>
      </c>
      <c r="L94" s="71" t="s">
        <v>388</v>
      </c>
      <c r="M94" s="71" t="s">
        <v>389</v>
      </c>
    </row>
    <row r="95" spans="1:13" ht="20.25" customHeight="1" thickBot="1" x14ac:dyDescent="0.3">
      <c r="A95" s="57">
        <f t="shared" si="1"/>
        <v>94</v>
      </c>
      <c r="B95" s="9" t="s">
        <v>139</v>
      </c>
      <c r="C95" s="9" t="s">
        <v>288</v>
      </c>
      <c r="D95" s="19" t="s">
        <v>154</v>
      </c>
      <c r="E95" s="52">
        <v>220250155424</v>
      </c>
      <c r="F95" s="49" t="s">
        <v>55</v>
      </c>
      <c r="G95" s="14" t="s">
        <v>39</v>
      </c>
      <c r="H95" s="14" t="s">
        <v>32</v>
      </c>
      <c r="I95" s="112">
        <v>45729</v>
      </c>
      <c r="J95" t="s">
        <v>376</v>
      </c>
      <c r="K95" t="str">
        <f>_xlfn.LET(
_xlpm.policy,$J95,
_xlpm.st,TRIM($G95),
_xlpm.code,
IF(OR(_xlpm.st="الموظف",_xlpm.st="موظفة",_xlpm.st="موظف"),"",
IFERROR(
CHOOSE(MATCH(_xlpm.st,{"زوجة","زوج","ابن","ابنة","اب","ام"},0),
"W","H","S","D","F","M"),
""
)),
_xlpm.serial,
IF(_xlpm.code="","",
1+COUNTIFS($J$2:J95,_xlpm.policy,$G$2:G95,_xlpm.st)-1
),
_xlpm.policy &amp; _xlpm.code &amp; _xlpm.serial
)</f>
        <v>O3G20250030D1</v>
      </c>
      <c r="L95" s="71" t="s">
        <v>388</v>
      </c>
      <c r="M95" s="71" t="s">
        <v>389</v>
      </c>
    </row>
    <row r="96" spans="1:13" ht="20.25" customHeight="1" thickTop="1" x14ac:dyDescent="0.25">
      <c r="A96" s="57">
        <f t="shared" si="1"/>
        <v>95</v>
      </c>
      <c r="B96" s="11" t="s">
        <v>27</v>
      </c>
      <c r="C96" s="11" t="s">
        <v>289</v>
      </c>
      <c r="D96" s="20" t="s">
        <v>154</v>
      </c>
      <c r="E96" s="12">
        <v>119670112121</v>
      </c>
      <c r="F96" s="20" t="s">
        <v>147</v>
      </c>
      <c r="G96" s="15" t="s">
        <v>30</v>
      </c>
      <c r="H96" s="15" t="s">
        <v>31</v>
      </c>
      <c r="I96" s="117">
        <v>24473</v>
      </c>
      <c r="J96" t="s">
        <v>376</v>
      </c>
      <c r="K96" t="str">
        <f>_xlfn.LET(
_xlpm.policy,$J96,
_xlpm.st,TRIM($G96),
_xlpm.code,
IF(OR(_xlpm.st="الموظف",_xlpm.st="موظفة",_xlpm.st="موظف"),"",
IFERROR(
CHOOSE(MATCH(_xlpm.st,{"زوجة","زوج","ابن","ابنة","اب","ام"},0),
"W","H","S","D","F","M"),
""
)),
_xlpm.serial,
IF(_xlpm.code="","",
1+COUNTIFS($J$2:J96,_xlpm.policy,$G$2:G96,_xlpm.st)-1
),
_xlpm.policy &amp; _xlpm.code &amp; _xlpm.serial
)</f>
        <v>O3G20250030</v>
      </c>
      <c r="L96" s="71" t="s">
        <v>388</v>
      </c>
      <c r="M96" s="71" t="s">
        <v>390</v>
      </c>
    </row>
    <row r="97" spans="1:13" ht="20.25" customHeight="1" x14ac:dyDescent="0.25">
      <c r="A97" s="57">
        <f t="shared" si="1"/>
        <v>96</v>
      </c>
      <c r="B97" s="12" t="s">
        <v>148</v>
      </c>
      <c r="C97" s="12" t="s">
        <v>290</v>
      </c>
      <c r="D97" s="18" t="s">
        <v>154</v>
      </c>
      <c r="E97" s="12">
        <v>219830399859</v>
      </c>
      <c r="F97" s="35" t="s">
        <v>189</v>
      </c>
      <c r="G97" s="15" t="s">
        <v>29</v>
      </c>
      <c r="H97" s="15" t="s">
        <v>32</v>
      </c>
      <c r="I97" s="117">
        <v>30635</v>
      </c>
      <c r="J97" t="s">
        <v>376</v>
      </c>
      <c r="K97" t="str">
        <f>_xlfn.LET(
_xlpm.policy,$J97,
_xlpm.st,TRIM($G97),
_xlpm.code,
IF(OR(_xlpm.st="الموظف",_xlpm.st="موظفة",_xlpm.st="موظف"),"",
IFERROR(
CHOOSE(MATCH(_xlpm.st,{"زوجة","زوج","ابن","ابنة","اب","ام"},0),
"W","H","S","D","F","M"),
""
)),
_xlpm.serial,
IF(_xlpm.code="","",
1+COUNTIFS($J$2:J97,_xlpm.policy,$G$2:G97,_xlpm.st)-1
),
_xlpm.policy &amp; _xlpm.code &amp; _xlpm.serial
)</f>
        <v>O3G20250030W1</v>
      </c>
      <c r="L97" s="71" t="s">
        <v>388</v>
      </c>
      <c r="M97" s="71" t="s">
        <v>389</v>
      </c>
    </row>
    <row r="98" spans="1:13" ht="20.25" customHeight="1" x14ac:dyDescent="0.25">
      <c r="A98" s="57">
        <f t="shared" si="1"/>
        <v>97</v>
      </c>
      <c r="B98" s="12" t="s">
        <v>149</v>
      </c>
      <c r="C98" s="12" t="s">
        <v>291</v>
      </c>
      <c r="D98" s="18" t="s">
        <v>154</v>
      </c>
      <c r="E98" s="12">
        <v>120000296722</v>
      </c>
      <c r="F98" s="35" t="s">
        <v>190</v>
      </c>
      <c r="G98" s="15" t="s">
        <v>38</v>
      </c>
      <c r="H98" s="15" t="s">
        <v>31</v>
      </c>
      <c r="I98" s="117">
        <v>40005</v>
      </c>
      <c r="J98" t="s">
        <v>376</v>
      </c>
      <c r="K98" t="str">
        <f>_xlfn.LET(
_xlpm.policy,$J98,
_xlpm.st,TRIM($G98),
_xlpm.code,
IF(OR(_xlpm.st="الموظف",_xlpm.st="موظفة",_xlpm.st="موظف"),"",
IFERROR(
CHOOSE(MATCH(_xlpm.st,{"زوجة","زوج","ابن","ابنة","اب","ام"},0),
"W","H","S","D","F","M"),
""
)),
_xlpm.serial,
IF(_xlpm.code="","",
1+COUNTIFS($J$2:J98,_xlpm.policy,$G$2:G98,_xlpm.st)-1
),
_xlpm.policy &amp; _xlpm.code &amp; _xlpm.serial
)</f>
        <v>O3G20250030S1</v>
      </c>
      <c r="L98" s="71" t="s">
        <v>388</v>
      </c>
      <c r="M98" s="71" t="s">
        <v>389</v>
      </c>
    </row>
    <row r="99" spans="1:13" ht="20.25" customHeight="1" x14ac:dyDescent="0.25">
      <c r="A99" s="57">
        <f t="shared" si="1"/>
        <v>98</v>
      </c>
      <c r="B99" s="12" t="s">
        <v>150</v>
      </c>
      <c r="C99" s="12" t="s">
        <v>292</v>
      </c>
      <c r="D99" s="18" t="s">
        <v>154</v>
      </c>
      <c r="E99" s="12">
        <v>120000294610</v>
      </c>
      <c r="F99" s="35" t="s">
        <v>191</v>
      </c>
      <c r="G99" s="15" t="s">
        <v>87</v>
      </c>
      <c r="H99" s="15" t="s">
        <v>31</v>
      </c>
      <c r="I99" s="117">
        <v>40005</v>
      </c>
      <c r="J99" t="s">
        <v>376</v>
      </c>
      <c r="K99" t="s">
        <v>382</v>
      </c>
      <c r="L99" s="71" t="s">
        <v>388</v>
      </c>
      <c r="M99" s="71" t="s">
        <v>389</v>
      </c>
    </row>
    <row r="100" spans="1:13" ht="20.25" customHeight="1" x14ac:dyDescent="0.25">
      <c r="A100" s="57">
        <f t="shared" si="1"/>
        <v>99</v>
      </c>
      <c r="B100" s="12" t="s">
        <v>151</v>
      </c>
      <c r="C100" s="12" t="s">
        <v>293</v>
      </c>
      <c r="D100" s="18" t="s">
        <v>154</v>
      </c>
      <c r="E100" s="12">
        <v>120110081138</v>
      </c>
      <c r="F100" s="35" t="s">
        <v>192</v>
      </c>
      <c r="G100" s="15" t="s">
        <v>87</v>
      </c>
      <c r="H100" s="15" t="s">
        <v>31</v>
      </c>
      <c r="I100" s="117">
        <v>40808</v>
      </c>
      <c r="J100" t="s">
        <v>376</v>
      </c>
      <c r="K100" t="s">
        <v>383</v>
      </c>
      <c r="L100" s="71" t="s">
        <v>388</v>
      </c>
      <c r="M100" s="71" t="s">
        <v>389</v>
      </c>
    </row>
    <row r="101" spans="1:13" ht="20.25" customHeight="1" x14ac:dyDescent="0.25">
      <c r="A101" s="57">
        <f t="shared" si="1"/>
        <v>100</v>
      </c>
      <c r="B101" s="12" t="s">
        <v>152</v>
      </c>
      <c r="C101" s="12" t="s">
        <v>294</v>
      </c>
      <c r="D101" s="18" t="s">
        <v>154</v>
      </c>
      <c r="E101" s="12">
        <v>120160493484</v>
      </c>
      <c r="F101" s="35" t="s">
        <v>193</v>
      </c>
      <c r="G101" s="15" t="s">
        <v>87</v>
      </c>
      <c r="H101" s="15" t="s">
        <v>31</v>
      </c>
      <c r="I101" s="117">
        <v>42485</v>
      </c>
      <c r="J101" t="s">
        <v>376</v>
      </c>
      <c r="K101" t="s">
        <v>384</v>
      </c>
      <c r="L101" s="71" t="s">
        <v>388</v>
      </c>
      <c r="M101" s="71" t="s">
        <v>389</v>
      </c>
    </row>
    <row r="102" spans="1:13" ht="20.25" customHeight="1" thickBot="1" x14ac:dyDescent="0.3">
      <c r="A102" s="57">
        <f t="shared" si="1"/>
        <v>101</v>
      </c>
      <c r="B102" s="7" t="s">
        <v>153</v>
      </c>
      <c r="C102" s="7" t="s">
        <v>295</v>
      </c>
      <c r="D102" s="19" t="s">
        <v>154</v>
      </c>
      <c r="E102" s="7">
        <v>220190984089</v>
      </c>
      <c r="F102" s="37" t="s">
        <v>194</v>
      </c>
      <c r="G102" s="14" t="s">
        <v>39</v>
      </c>
      <c r="H102" s="14" t="s">
        <v>32</v>
      </c>
      <c r="I102" s="112">
        <v>43795</v>
      </c>
      <c r="J102" t="s">
        <v>376</v>
      </c>
      <c r="K102" t="s">
        <v>385</v>
      </c>
      <c r="L102" s="71" t="s">
        <v>388</v>
      </c>
      <c r="M102" s="71" t="s">
        <v>389</v>
      </c>
    </row>
    <row r="103" spans="1:13" ht="20.25" customHeight="1" thickTop="1" x14ac:dyDescent="0.45">
      <c r="A103" s="57">
        <f t="shared" si="1"/>
        <v>102</v>
      </c>
      <c r="B103" s="11" t="s">
        <v>301</v>
      </c>
      <c r="C103" s="11" t="s">
        <v>303</v>
      </c>
      <c r="D103" s="21" t="s">
        <v>154</v>
      </c>
      <c r="E103" s="67">
        <v>119690309172</v>
      </c>
      <c r="F103" s="21" t="s">
        <v>302</v>
      </c>
      <c r="G103" s="61" t="s">
        <v>30</v>
      </c>
      <c r="H103" s="62" t="s">
        <v>31</v>
      </c>
      <c r="I103" s="125">
        <v>25320</v>
      </c>
      <c r="J103" t="s">
        <v>377</v>
      </c>
      <c r="K103" t="str">
        <f>_xlfn.LET(
_xlpm.policy,$J103,
_xlpm.st,TRIM($G103),
_xlpm.code,
IF(OR(_xlpm.st="الموظف",_xlpm.st="موظفة",_xlpm.st="موظف"),"",
IFERROR(
CHOOSE(MATCH(_xlpm.st,{"زوجة","زوج","ابن","ابنة","اب","ام"},0),
"W","H","S","D","F","M"),
""
)),
_xlpm.serial,
IF(_xlpm.code="","",
1+COUNTIFS($J$2:J103,_xlpm.policy,$G$2:G103,_xlpm.st)-1
),
_xlpm.policy &amp; _xlpm.code &amp; _xlpm.serial
)</f>
        <v>O3G20250031</v>
      </c>
      <c r="L103" s="71" t="s">
        <v>388</v>
      </c>
      <c r="M103" s="71" t="s">
        <v>389</v>
      </c>
    </row>
    <row r="104" spans="1:13" ht="20.25" customHeight="1" x14ac:dyDescent="0.35">
      <c r="A104" s="57">
        <f t="shared" si="1"/>
        <v>103</v>
      </c>
      <c r="B104" s="8" t="s">
        <v>304</v>
      </c>
      <c r="C104" s="8" t="s">
        <v>306</v>
      </c>
      <c r="D104" s="8" t="s">
        <v>154</v>
      </c>
      <c r="E104" s="68">
        <v>219700092202</v>
      </c>
      <c r="F104" s="8" t="s">
        <v>305</v>
      </c>
      <c r="G104" s="63" t="s">
        <v>29</v>
      </c>
      <c r="H104" s="63" t="s">
        <v>32</v>
      </c>
      <c r="I104" s="126">
        <v>25569</v>
      </c>
      <c r="J104" t="s">
        <v>377</v>
      </c>
      <c r="K104" t="str">
        <f>_xlfn.LET(
_xlpm.policy,$J104,
_xlpm.st,TRIM($G104),
_xlpm.code,
IF(OR(_xlpm.st="الموظف",_xlpm.st="موظفة",_xlpm.st="موظف"),"",
IFERROR(
CHOOSE(MATCH(_xlpm.st,{"زوجة","زوج","ابن","ابنة","اب","ام"},0),
"W","H","S","D","F","M"),
""
)),
_xlpm.serial,
IF(_xlpm.code="","",
1+COUNTIFS($J$2:J104,_xlpm.policy,$G$2:G104,_xlpm.st)-1
),
_xlpm.policy &amp; _xlpm.code &amp; _xlpm.serial
)</f>
        <v>O3G20250031W1</v>
      </c>
      <c r="L104" s="71" t="s">
        <v>388</v>
      </c>
      <c r="M104" s="71" t="s">
        <v>389</v>
      </c>
    </row>
    <row r="105" spans="1:13" ht="20.25" customHeight="1" x14ac:dyDescent="0.35">
      <c r="A105" s="57">
        <f t="shared" si="1"/>
        <v>104</v>
      </c>
      <c r="B105" s="8" t="s">
        <v>309</v>
      </c>
      <c r="C105" s="8" t="s">
        <v>307</v>
      </c>
      <c r="D105" s="8" t="s">
        <v>154</v>
      </c>
      <c r="E105" s="68">
        <v>220010543339</v>
      </c>
      <c r="F105" s="8" t="s">
        <v>308</v>
      </c>
      <c r="G105" s="63" t="s">
        <v>39</v>
      </c>
      <c r="H105" s="63" t="s">
        <v>32</v>
      </c>
      <c r="I105" s="126">
        <v>36976</v>
      </c>
      <c r="J105" t="s">
        <v>377</v>
      </c>
      <c r="K105" t="str">
        <f>_xlfn.LET(
_xlpm.policy,$J105,
_xlpm.st,TRIM($G105),
_xlpm.code,
IF(OR(_xlpm.st="الموظف",_xlpm.st="موظفة",_xlpm.st="موظف"),"",
IFERROR(
CHOOSE(MATCH(_xlpm.st,{"زوجة","زوج","ابن","ابنة","اب","ام"},0),
"W","H","S","D","F","M"),
""
)),
_xlpm.serial,
IF(_xlpm.code="","",
1+COUNTIFS($J$2:J105,_xlpm.policy,$G$2:G105,_xlpm.st)-1
),
_xlpm.policy &amp; _xlpm.code &amp; _xlpm.serial
)</f>
        <v>O3G20250031D1</v>
      </c>
      <c r="L105" s="71" t="s">
        <v>388</v>
      </c>
      <c r="M105" s="71" t="s">
        <v>389</v>
      </c>
    </row>
    <row r="106" spans="1:13" ht="20.25" customHeight="1" x14ac:dyDescent="0.35">
      <c r="A106" s="57">
        <f t="shared" si="1"/>
        <v>105</v>
      </c>
      <c r="B106" s="8" t="s">
        <v>310</v>
      </c>
      <c r="C106" s="8" t="s">
        <v>314</v>
      </c>
      <c r="D106" s="8" t="s">
        <v>154</v>
      </c>
      <c r="E106" s="68">
        <v>220040234711</v>
      </c>
      <c r="F106" s="8" t="s">
        <v>312</v>
      </c>
      <c r="G106" s="63" t="s">
        <v>39</v>
      </c>
      <c r="H106" s="63" t="s">
        <v>32</v>
      </c>
      <c r="I106" s="126">
        <v>37999</v>
      </c>
      <c r="J106" t="s">
        <v>377</v>
      </c>
      <c r="K106" t="str">
        <f>_xlfn.LET(
_xlpm.policy,$J106,
_xlpm.st,TRIM($G106),
_xlpm.code,
IF(OR(_xlpm.st="الموظف",_xlpm.st="موظفة",_xlpm.st="موظف"),"",
IFERROR(
CHOOSE(MATCH(_xlpm.st,{"زوجة","زوج","ابن","ابنة","اب","ام"},0),
"W","H","S","D","F","M"),
""
)),
_xlpm.serial,
IF(_xlpm.code="","",
1+COUNTIFS($J$2:J106,_xlpm.policy,$G$2:G106,_xlpm.st)-1
),
_xlpm.policy &amp; _xlpm.code &amp; _xlpm.serial
)</f>
        <v>O3G20250031D2</v>
      </c>
      <c r="L106" s="71" t="s">
        <v>388</v>
      </c>
      <c r="M106" s="71" t="s">
        <v>389</v>
      </c>
    </row>
    <row r="107" spans="1:13" ht="20.25" customHeight="1" thickBot="1" x14ac:dyDescent="0.4">
      <c r="A107" s="57">
        <f t="shared" si="1"/>
        <v>106</v>
      </c>
      <c r="B107" s="9" t="s">
        <v>311</v>
      </c>
      <c r="C107" s="9" t="s">
        <v>315</v>
      </c>
      <c r="D107" s="9" t="s">
        <v>154</v>
      </c>
      <c r="E107" s="69">
        <v>120080173648</v>
      </c>
      <c r="F107" s="9" t="s">
        <v>313</v>
      </c>
      <c r="G107" s="64" t="s">
        <v>38</v>
      </c>
      <c r="H107" s="64" t="s">
        <v>31</v>
      </c>
      <c r="I107" s="127">
        <v>39611</v>
      </c>
      <c r="J107" t="s">
        <v>377</v>
      </c>
      <c r="K107" t="str">
        <f>_xlfn.LET(
_xlpm.policy,$J107,
_xlpm.st,TRIM($G107),
_xlpm.code,
IF(OR(_xlpm.st="الموظف",_xlpm.st="موظفة",_xlpm.st="موظف"),"",
IFERROR(
CHOOSE(MATCH(_xlpm.st,{"زوجة","زوج","ابن","ابنة","اب","ام"},0),
"W","H","S","D","F","M"),
""
)),
_xlpm.serial,
IF(_xlpm.code="","",
1+COUNTIFS($J$2:J107,_xlpm.policy,$G$2:G107,_xlpm.st)-1
),
_xlpm.policy &amp; _xlpm.code &amp; _xlpm.serial
)</f>
        <v>O3G20250031S1</v>
      </c>
      <c r="L107" s="71" t="s">
        <v>388</v>
      </c>
      <c r="M107" s="71" t="s">
        <v>389</v>
      </c>
    </row>
    <row r="108" spans="1:13" ht="20.25" customHeight="1" thickTop="1" x14ac:dyDescent="0.45">
      <c r="A108" s="57">
        <f t="shared" si="1"/>
        <v>107</v>
      </c>
      <c r="B108" s="11" t="s">
        <v>317</v>
      </c>
      <c r="C108" s="11" t="s">
        <v>316</v>
      </c>
      <c r="D108" s="21" t="s">
        <v>154</v>
      </c>
      <c r="E108" s="65">
        <v>119700356969</v>
      </c>
      <c r="F108" s="21" t="s">
        <v>318</v>
      </c>
      <c r="G108" s="61" t="s">
        <v>30</v>
      </c>
      <c r="H108" s="62" t="s">
        <v>31</v>
      </c>
      <c r="I108" s="125">
        <v>25867</v>
      </c>
      <c r="J108" s="77" t="s">
        <v>378</v>
      </c>
      <c r="K108" t="str">
        <f>_xlfn.LET(
_xlpm.policy,$J108,
_xlpm.st,TRIM($G108),
_xlpm.code,
IF(OR(_xlpm.st="الموظف",_xlpm.st="موظفة",_xlpm.st="موظف"),"",
IFERROR(
CHOOSE(MATCH(_xlpm.st,{"زوجة","زوج","ابن","ابنة","اب","ام"},0),
"W","H","S","D","F","M"),
""
)),
_xlpm.serial,
IF(_xlpm.code="","",
1+COUNTIFS($J$2:J108,_xlpm.policy,$G$2:G108,_xlpm.st)-1
),
_xlpm.policy &amp; _xlpm.code &amp; _xlpm.serial
)</f>
        <v>O3G20250032</v>
      </c>
      <c r="L108" s="71" t="s">
        <v>388</v>
      </c>
      <c r="M108" s="71" t="s">
        <v>389</v>
      </c>
    </row>
    <row r="109" spans="1:13" ht="20.25" customHeight="1" x14ac:dyDescent="0.45">
      <c r="A109" s="57">
        <f t="shared" si="1"/>
        <v>108</v>
      </c>
      <c r="B109" s="8" t="s">
        <v>329</v>
      </c>
      <c r="C109" s="8" t="s">
        <v>319</v>
      </c>
      <c r="D109" s="21" t="s">
        <v>154</v>
      </c>
      <c r="E109" s="66">
        <v>219830074341</v>
      </c>
      <c r="F109" s="8" t="s">
        <v>320</v>
      </c>
      <c r="G109" s="70" t="s">
        <v>29</v>
      </c>
      <c r="H109" s="63" t="s">
        <v>32</v>
      </c>
      <c r="I109" s="126">
        <v>30413</v>
      </c>
      <c r="J109" s="77" t="s">
        <v>378</v>
      </c>
      <c r="K109" t="str">
        <f>_xlfn.LET(
_xlpm.policy,$J109,
_xlpm.st,TRIM($G109),
_xlpm.code,
IF(OR(_xlpm.st="الموظف",_xlpm.st="موظفة",_xlpm.st="موظف"),"",
IFERROR(
CHOOSE(MATCH(_xlpm.st,{"زوجة","زوج","ابن","ابنة","اب","ام"},0),
"W","H","S","D","F","M"),
""
)),
_xlpm.serial,
IF(_xlpm.code="","",
1+COUNTIFS($J$2:J109,_xlpm.policy,$G$2:G109,_xlpm.st)-1
),
_xlpm.policy &amp; _xlpm.code &amp; _xlpm.serial
)</f>
        <v>O3G20250032W1</v>
      </c>
      <c r="L109" s="71" t="s">
        <v>388</v>
      </c>
      <c r="M109" s="71" t="s">
        <v>389</v>
      </c>
    </row>
    <row r="110" spans="1:13" ht="20.25" customHeight="1" x14ac:dyDescent="0.45">
      <c r="A110" s="57">
        <f t="shared" si="1"/>
        <v>109</v>
      </c>
      <c r="B110" s="8" t="s">
        <v>334</v>
      </c>
      <c r="C110" s="8" t="s">
        <v>335</v>
      </c>
      <c r="D110" s="21" t="s">
        <v>154</v>
      </c>
      <c r="E110" s="66">
        <v>120030359812</v>
      </c>
      <c r="F110" s="8" t="s">
        <v>55</v>
      </c>
      <c r="G110" s="70" t="s">
        <v>87</v>
      </c>
      <c r="H110" s="63" t="s">
        <v>31</v>
      </c>
      <c r="I110" s="126">
        <v>37860</v>
      </c>
      <c r="J110" s="77" t="s">
        <v>378</v>
      </c>
      <c r="K110" t="s">
        <v>386</v>
      </c>
      <c r="L110" s="71" t="s">
        <v>388</v>
      </c>
      <c r="M110" s="71" t="s">
        <v>389</v>
      </c>
    </row>
    <row r="111" spans="1:13" ht="20.25" customHeight="1" x14ac:dyDescent="0.45">
      <c r="A111" s="57">
        <f t="shared" si="1"/>
        <v>110</v>
      </c>
      <c r="B111" s="8" t="s">
        <v>330</v>
      </c>
      <c r="C111" s="8" t="s">
        <v>321</v>
      </c>
      <c r="D111" s="21" t="s">
        <v>154</v>
      </c>
      <c r="E111" s="66">
        <v>220060041784</v>
      </c>
      <c r="F111" s="8" t="s">
        <v>322</v>
      </c>
      <c r="G111" s="70" t="s">
        <v>39</v>
      </c>
      <c r="H111" s="63" t="s">
        <v>32</v>
      </c>
      <c r="I111" s="126">
        <v>38805</v>
      </c>
      <c r="J111" s="77" t="s">
        <v>378</v>
      </c>
      <c r="K111" t="str">
        <f>_xlfn.LET(
_xlpm.policy,$J111,
_xlpm.st,TRIM($G111),
_xlpm.code,
IF(OR(_xlpm.st="الموظف",_xlpm.st="موظفة",_xlpm.st="موظف"),"",
IFERROR(
CHOOSE(MATCH(_xlpm.st,{"زوجة","زوج","ابن","ابنة","اب","ام"},0),
"W","H","S","D","F","M"),
""
)),
_xlpm.serial,
IF(_xlpm.code="","",
1+COUNTIFS($J$2:J111,_xlpm.policy,$G$2:G111,_xlpm.st)-1
),
_xlpm.policy &amp; _xlpm.code &amp; _xlpm.serial
)</f>
        <v>O3G20250032D1</v>
      </c>
      <c r="L111" s="71" t="s">
        <v>388</v>
      </c>
      <c r="M111" s="71" t="s">
        <v>389</v>
      </c>
    </row>
    <row r="112" spans="1:13" s="85" customFormat="1" ht="20.25" customHeight="1" x14ac:dyDescent="0.45">
      <c r="A112" s="78">
        <f t="shared" si="1"/>
        <v>111</v>
      </c>
      <c r="B112" s="79" t="s">
        <v>331</v>
      </c>
      <c r="C112" s="79" t="s">
        <v>323</v>
      </c>
      <c r="D112" s="80" t="s">
        <v>154</v>
      </c>
      <c r="E112" s="81">
        <v>220090123250</v>
      </c>
      <c r="F112" s="79" t="s">
        <v>324</v>
      </c>
      <c r="G112" s="82" t="s">
        <v>39</v>
      </c>
      <c r="H112" s="83" t="s">
        <v>32</v>
      </c>
      <c r="I112" s="128">
        <v>39840</v>
      </c>
      <c r="J112" s="84" t="s">
        <v>378</v>
      </c>
      <c r="K112" s="85" t="str">
        <f>_xlfn.LET(
_xlpm.policy,$J112,
_xlpm.st,TRIM($G112),
_xlpm.code,
IF(OR(_xlpm.st="الموظف",_xlpm.st="موظفة",_xlpm.st="موظف"),"",
IFERROR(
CHOOSE(MATCH(_xlpm.st,{"زوجة","زوج","ابن","ابنة","اب","ام"},0),
"W","H","S","D","F","M"),
""
)),
_xlpm.serial,
IF(_xlpm.code="","",
1+COUNTIFS($J$2:J112,_xlpm.policy,$G$2:G112,_xlpm.st)-1
),
_xlpm.policy &amp; _xlpm.code &amp; _xlpm.serial
)</f>
        <v>O3G20250032D2</v>
      </c>
    </row>
    <row r="113" spans="1:11" s="85" customFormat="1" ht="20.25" customHeight="1" x14ac:dyDescent="0.45">
      <c r="A113" s="78">
        <f t="shared" si="1"/>
        <v>112</v>
      </c>
      <c r="B113" s="79" t="s">
        <v>332</v>
      </c>
      <c r="C113" s="79" t="s">
        <v>326</v>
      </c>
      <c r="D113" s="80" t="s">
        <v>154</v>
      </c>
      <c r="E113" s="81">
        <v>220110049843</v>
      </c>
      <c r="F113" s="79" t="s">
        <v>325</v>
      </c>
      <c r="G113" s="82" t="s">
        <v>39</v>
      </c>
      <c r="H113" s="83" t="s">
        <v>32</v>
      </c>
      <c r="I113" s="128">
        <v>40582</v>
      </c>
      <c r="J113" s="84" t="s">
        <v>378</v>
      </c>
      <c r="K113" s="85" t="str">
        <f>_xlfn.LET(
_xlpm.policy,$J113,
_xlpm.st,TRIM($G113),
_xlpm.code,
IF(OR(_xlpm.st="الموظف",_xlpm.st="موظفة",_xlpm.st="موظف"),"",
IFERROR(
CHOOSE(MATCH(_xlpm.st,{"زوجة","زوج","ابن","ابنة","اب","ام"},0),
"W","H","S","D","F","M"),
""
)),
_xlpm.serial,
IF(_xlpm.code="","",
1+COUNTIFS($J$2:J113,_xlpm.policy,$G$2:G113,_xlpm.st)-1
),
_xlpm.policy &amp; _xlpm.code &amp; _xlpm.serial
)</f>
        <v>O3G20250032D3</v>
      </c>
    </row>
    <row r="114" spans="1:11" s="85" customFormat="1" ht="20.25" customHeight="1" thickBot="1" x14ac:dyDescent="0.5">
      <c r="A114" s="86">
        <f t="shared" si="1"/>
        <v>113</v>
      </c>
      <c r="B114" s="87" t="s">
        <v>333</v>
      </c>
      <c r="C114" s="87" t="s">
        <v>327</v>
      </c>
      <c r="D114" s="88" t="s">
        <v>154</v>
      </c>
      <c r="E114" s="89">
        <v>120131168667</v>
      </c>
      <c r="F114" s="87" t="s">
        <v>328</v>
      </c>
      <c r="G114" s="90" t="s">
        <v>38</v>
      </c>
      <c r="H114" s="91" t="s">
        <v>31</v>
      </c>
      <c r="I114" s="129">
        <v>41291</v>
      </c>
      <c r="J114" s="84" t="s">
        <v>378</v>
      </c>
      <c r="K114" s="85" t="s">
        <v>387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2015-06-05T18:17:20Z</dcterms:created>
  <dcterms:modified xsi:type="dcterms:W3CDTF">2026-03-30T09:10:09Z</dcterms:modified>
</cp:coreProperties>
</file>