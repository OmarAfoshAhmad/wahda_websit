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بطاقات\W CARD\ملحق\"/>
    </mc:Choice>
  </mc:AlternateContent>
  <bookViews>
    <workbookView xWindow="0" yWindow="0" windowWidth="17295" windowHeight="738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1" l="1"/>
  <c r="G53" i="1" s="1"/>
  <c r="G54" i="1" s="1"/>
  <c r="H32" i="1" l="1" a="1"/>
  <c r="H32" i="1" s="1"/>
  <c r="G32" i="1"/>
  <c r="G24" i="1" l="1"/>
  <c r="G23" i="1"/>
  <c r="G22" i="1"/>
  <c r="G21" i="1"/>
  <c r="G20" i="1"/>
  <c r="G18" i="1"/>
  <c r="G17" i="1"/>
  <c r="G16" i="1"/>
  <c r="G14" i="1"/>
  <c r="G13" i="1"/>
  <c r="G12" i="1"/>
  <c r="G9" i="1"/>
  <c r="G7" i="1"/>
  <c r="G6" i="1"/>
  <c r="G5" i="1"/>
  <c r="G4" i="1"/>
  <c r="G1" i="1"/>
  <c r="G2" i="1" s="1"/>
  <c r="G3" i="1" s="1"/>
  <c r="H3" i="1" s="1" a="1"/>
  <c r="H3" i="1" s="1"/>
  <c r="H6" i="1" l="1" a="1"/>
  <c r="H6" i="1" s="1"/>
  <c r="H7" i="1" a="1"/>
  <c r="H7" i="1" s="1"/>
  <c r="G19" i="1"/>
  <c r="G15" i="1"/>
  <c r="G10" i="1"/>
  <c r="G8" i="1"/>
  <c r="H8" i="1" s="1" a="1"/>
  <c r="H8" i="1" s="1"/>
  <c r="H1" i="1" a="1"/>
  <c r="H1" i="1" s="1"/>
  <c r="H2" i="1" a="1"/>
  <c r="H2" i="1" s="1"/>
  <c r="H9" i="1" l="1" a="1"/>
  <c r="H9" i="1" s="1"/>
  <c r="H23" i="1" a="1"/>
  <c r="H23" i="1" s="1"/>
  <c r="H21" i="1" a="1"/>
  <c r="H21" i="1" s="1"/>
  <c r="H17" i="1" a="1"/>
  <c r="H17" i="1" s="1"/>
  <c r="H10" i="1" a="1"/>
  <c r="H10" i="1" s="1"/>
  <c r="G11" i="1"/>
  <c r="H11" i="1" l="1" a="1"/>
  <c r="H11" i="1" s="1"/>
  <c r="H16" i="1" a="1"/>
  <c r="H16" i="1" s="1"/>
  <c r="H12" i="1" a="1"/>
  <c r="H12" i="1" s="1"/>
  <c r="H18" i="1" a="1"/>
  <c r="H18" i="1" s="1"/>
  <c r="H19" i="1" a="1"/>
  <c r="H19" i="1" s="1"/>
  <c r="H22" i="1" a="1"/>
  <c r="H22" i="1" s="1"/>
  <c r="H24" i="1" a="1"/>
  <c r="H24" i="1" s="1"/>
  <c r="H14" i="1" a="1"/>
  <c r="H14" i="1" s="1"/>
  <c r="H13" i="1" a="1"/>
  <c r="H13" i="1" s="1"/>
  <c r="H20" i="1" a="1"/>
  <c r="H20" i="1" s="1"/>
  <c r="H15" i="1" a="1"/>
  <c r="H15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<sst xmlns="http://schemas.openxmlformats.org/spreadsheetml/2006/main" count="234" uniqueCount="156">
  <si>
    <t>فرج طارق فرج جدولة</t>
  </si>
  <si>
    <t>موظف</t>
  </si>
  <si>
    <t>طارق فرج جدولة</t>
  </si>
  <si>
    <t>اب</t>
  </si>
  <si>
    <t>مبروكة جبريل السحاتي</t>
  </si>
  <si>
    <t>ام</t>
  </si>
  <si>
    <t>وفاء مفتاح اامنقوش</t>
  </si>
  <si>
    <t>ابن</t>
  </si>
  <si>
    <t>WAB2025105368W1</t>
  </si>
  <si>
    <t>01-04-2026</t>
  </si>
  <si>
    <t>1</t>
  </si>
  <si>
    <t>02-04-2026</t>
  </si>
  <si>
    <t>زوجة</t>
  </si>
  <si>
    <t>WAB2025105090W2</t>
  </si>
  <si>
    <t>يوسف الفيتورى الشكرى</t>
  </si>
  <si>
    <t>WAB20251050521</t>
  </si>
  <si>
    <t xml:space="preserve">عبدالكريم محمد انبيشي </t>
  </si>
  <si>
    <t>الاب</t>
  </si>
  <si>
    <t>WAB20251053561</t>
  </si>
  <si>
    <t>هناء مفتاح البرعصي</t>
  </si>
  <si>
    <t>الام</t>
  </si>
  <si>
    <t>رمضان علي زهرى</t>
  </si>
  <si>
    <t>WAB20251053231</t>
  </si>
  <si>
    <t>عزه محمد عبدالرحمن</t>
  </si>
  <si>
    <t>حسين عبدالناصر محمد</t>
  </si>
  <si>
    <t>WAB2025009800S1</t>
  </si>
  <si>
    <t xml:space="preserve">محمد سالم مفتاح </t>
  </si>
  <si>
    <t>WAB20251059171</t>
  </si>
  <si>
    <t>سالمين موسي البرعصي</t>
  </si>
  <si>
    <t>ابنة</t>
  </si>
  <si>
    <t>WAB2025105977D1</t>
  </si>
  <si>
    <t xml:space="preserve">سليمان مفتاح الشيخي </t>
  </si>
  <si>
    <t xml:space="preserve">اب </t>
  </si>
  <si>
    <t>WAB2025104967F1</t>
  </si>
  <si>
    <t xml:space="preserve">فتحية مفتاح الشيخي </t>
  </si>
  <si>
    <t xml:space="preserve">ام </t>
  </si>
  <si>
    <t>WAB2025104967M1</t>
  </si>
  <si>
    <t>زينب حسين التكيالي</t>
  </si>
  <si>
    <t>WAB20250093781</t>
  </si>
  <si>
    <t>المبروك وليد عطيه</t>
  </si>
  <si>
    <t>WAB2025009881S3</t>
  </si>
  <si>
    <t xml:space="preserve">مكائيل حمد محمد </t>
  </si>
  <si>
    <t>WAB20250099351</t>
  </si>
  <si>
    <t xml:space="preserve">سعده علي </t>
  </si>
  <si>
    <t>فضل الله محمد الصلابي</t>
  </si>
  <si>
    <t>WAB20250049581</t>
  </si>
  <si>
    <t xml:space="preserve">سليم ناصر الفلاح </t>
  </si>
  <si>
    <t>WAB2025003431S1</t>
  </si>
  <si>
    <t>فوزية محمد سليمان</t>
  </si>
  <si>
    <t>WAB20250012851</t>
  </si>
  <si>
    <t>عوض علي الشكرى</t>
  </si>
  <si>
    <t>WAB20250120791</t>
  </si>
  <si>
    <t>احسان سليم عبدالله</t>
  </si>
  <si>
    <t>WAB20250003801</t>
  </si>
  <si>
    <t>سالمين حسين ابراهيم ادريس الطيرة</t>
  </si>
  <si>
    <t>WAB2025003184M1</t>
  </si>
  <si>
    <t xml:space="preserve">علي سليمان علي الفيتوري </t>
  </si>
  <si>
    <t>WAB202500009549S1</t>
  </si>
  <si>
    <t xml:space="preserve">فوزية ربح ميكائيل </t>
  </si>
  <si>
    <t>WAB2025105907M1</t>
  </si>
  <si>
    <t xml:space="preserve">ريتال فتحي عبدالله حنيش </t>
  </si>
  <si>
    <t>WAB202504907D3</t>
  </si>
  <si>
    <t>11-12-2025 17:50</t>
  </si>
  <si>
    <t>خطأ مواليد</t>
  </si>
  <si>
    <t xml:space="preserve">سعد ناجي الورفلي </t>
  </si>
  <si>
    <t>سامي ناجي الورفلي</t>
  </si>
  <si>
    <t>سراج الدين ناجي الورفلي</t>
  </si>
  <si>
    <t>WAB2025003583S2</t>
  </si>
  <si>
    <t>WAB2025003583S3</t>
  </si>
  <si>
    <t>WAB2025003583S4</t>
  </si>
  <si>
    <t>جميلة صالح خالد</t>
  </si>
  <si>
    <t>WAB2025104419M1</t>
  </si>
  <si>
    <t>نعيمة أحمد علي البشاري</t>
  </si>
  <si>
    <t>WAB202509628</t>
  </si>
  <si>
    <t>1976-10-03</t>
  </si>
  <si>
    <t>هبة عبدالحميد عطية</t>
  </si>
  <si>
    <t>WAB202509628D1</t>
  </si>
  <si>
    <t>2007-08-21</t>
  </si>
  <si>
    <t>لانا علي عبدالله بالقاسم صنع الله</t>
  </si>
  <si>
    <t>WAB202509627D4</t>
  </si>
  <si>
    <t>2025-01-05</t>
  </si>
  <si>
    <t>خضرة جمعة ابريك</t>
  </si>
  <si>
    <t>WAB2025002745</t>
  </si>
  <si>
    <t>فيروز عبدالمولي عوض</t>
  </si>
  <si>
    <t>WAB2025002745D1</t>
  </si>
  <si>
    <t>هناء عبدالمولي عوض</t>
  </si>
  <si>
    <t>WAB2025002745D2</t>
  </si>
  <si>
    <t>فاطمة محمد احمد نصرالله</t>
  </si>
  <si>
    <t>WAB202504248</t>
  </si>
  <si>
    <t>رابحه صالح احميد</t>
  </si>
  <si>
    <t>WAB202504248M1</t>
  </si>
  <si>
    <t>محمد جلال عبدالله حسين</t>
  </si>
  <si>
    <t>WAB202504248S1</t>
  </si>
  <si>
    <t>طه جلال عبدالله حسين</t>
  </si>
  <si>
    <t>WAB202504248S2</t>
  </si>
  <si>
    <t>موسى محمود موسى الجلالي</t>
  </si>
  <si>
    <t xml:space="preserve">ابن </t>
  </si>
  <si>
    <t>WAB2025105510S1</t>
  </si>
  <si>
    <t>حلا عصام ابوبكر</t>
  </si>
  <si>
    <t>WAB2025009594D1</t>
  </si>
  <si>
    <t xml:space="preserve">مريم خليل أحمد المقصبي </t>
  </si>
  <si>
    <t xml:space="preserve">ابنة </t>
  </si>
  <si>
    <t>WAB2025009902D2</t>
  </si>
  <si>
    <t>فوز عطية رجب سالم</t>
  </si>
  <si>
    <t>1971-04-28</t>
  </si>
  <si>
    <t>WAB202509479W1</t>
  </si>
  <si>
    <t>مبروكة علي فرج الجريبي</t>
  </si>
  <si>
    <t>أم</t>
  </si>
  <si>
    <t>WAB20259846M1</t>
  </si>
  <si>
    <t>مبروكة أحمد بوبكر هزاوى</t>
  </si>
  <si>
    <t>ابنه</t>
  </si>
  <si>
    <t>WAB20259846</t>
  </si>
  <si>
    <t xml:space="preserve">بشرى فتحي عبدالله حنيش </t>
  </si>
  <si>
    <t>WAB202504907D4</t>
  </si>
  <si>
    <t xml:space="preserve">عائشة محمد رجب </t>
  </si>
  <si>
    <t>WAB202504907W2</t>
  </si>
  <si>
    <t>WAB2025104745W1</t>
  </si>
  <si>
    <t>مروه سليمان عبدالله عيسى</t>
  </si>
  <si>
    <t xml:space="preserve">زوجة </t>
  </si>
  <si>
    <t xml:space="preserve">تهاني صالح ابراهيم عبدالله </t>
  </si>
  <si>
    <t xml:space="preserve">موظفة </t>
  </si>
  <si>
    <t>WAB2025004724</t>
  </si>
  <si>
    <t>تماضر خالد احمد عمر</t>
  </si>
  <si>
    <t>WAB2025004724D1</t>
  </si>
  <si>
    <t xml:space="preserve">تيم خالد احمد عمر </t>
  </si>
  <si>
    <t>WAB2025004724S1</t>
  </si>
  <si>
    <t>فادية سيد مهيدي</t>
  </si>
  <si>
    <t>بشرى رزق محمد العبيدي</t>
  </si>
  <si>
    <t>هنية عبدالرحمن اللافي</t>
  </si>
  <si>
    <t>1990-07-24</t>
  </si>
  <si>
    <t>1961-01-01</t>
  </si>
  <si>
    <t>WAB2025105827</t>
  </si>
  <si>
    <t>WAB2025105827M1</t>
  </si>
  <si>
    <t>أينور ادريس محمد تربح</t>
  </si>
  <si>
    <t>WAB202509911W1</t>
  </si>
  <si>
    <t>عزيزه فرج حسين خطاب</t>
  </si>
  <si>
    <t>WAB202504831W1</t>
  </si>
  <si>
    <t>سمية عبدالله المحجوب</t>
  </si>
  <si>
    <t>موظفة</t>
  </si>
  <si>
    <t>*</t>
  </si>
  <si>
    <t>WAB202504800</t>
  </si>
  <si>
    <t>عبدالله احمد محمد المحجوب</t>
  </si>
  <si>
    <t>WAB202504800F1</t>
  </si>
  <si>
    <t>جنى جمعة عبدالسلام</t>
  </si>
  <si>
    <t>WAB202504800D1</t>
  </si>
  <si>
    <t>امال جمعة عبدالسلام</t>
  </si>
  <si>
    <t>WAB202504800D2</t>
  </si>
  <si>
    <t>فاطمة جمعة عبدالسلام</t>
  </si>
  <si>
    <t>WAB202504800D3</t>
  </si>
  <si>
    <t xml:space="preserve">نجاة محمد رجب حسين </t>
  </si>
  <si>
    <t>WAB2025003019W1</t>
  </si>
  <si>
    <t>عثمان حمد الفيتوري</t>
  </si>
  <si>
    <t>WAB2025104173F1</t>
  </si>
  <si>
    <t xml:space="preserve">احمد عبدالرحمن عقيلة محمد </t>
  </si>
  <si>
    <t xml:space="preserve">موظف </t>
  </si>
  <si>
    <t>WAB2025104109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</si>
</sst>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yyyy\-mm\-dd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7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5" fillId="0" borderId="2" xfId="0" applyFont="1" applyBorder="1" applyAlignment="1">
      <alignment horizontal="center" vertical="center"/>
    </xf>
    <xf numFmtId="0" fontId="0" fillId="4" borderId="0" xfId="0" applyFill="1"/>
    <xf numFmtId="0" fontId="4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0" fillId="4" borderId="3" xfId="0" applyFill="1" applyBorder="1"/>
    <xf numFmtId="0" fontId="8" fillId="4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5" borderId="5" xfId="2" applyFont="1" applyFill="1" applyBorder="1" applyAlignment="1">
      <alignment horizontal="center" vertical="center"/>
    </xf>
    <xf numFmtId="164" fontId="0" fillId="5" borderId="5" xfId="2" applyNumberFormat="1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 readingOrder="1"/>
    </xf>
    <xf numFmtId="0" fontId="0" fillId="0" borderId="6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 readingOrder="1"/>
    </xf>
    <xf numFmtId="0" fontId="0" fillId="0" borderId="8" xfId="0" applyFont="1" applyBorder="1" applyAlignment="1">
      <alignment horizontal="center" vertical="center"/>
    </xf>
    <xf numFmtId="0" fontId="0" fillId="4" borderId="2" xfId="2" applyFont="1" applyFill="1" applyBorder="1" applyAlignment="1">
      <alignment horizontal="center" vertical="center"/>
    </xf>
    <xf numFmtId="0" fontId="4" fillId="4" borderId="2" xfId="2" applyNumberFormat="1" applyFont="1" applyFill="1" applyBorder="1" applyAlignment="1">
      <alignment horizontal="center" vertical="center"/>
    </xf>
    <xf numFmtId="14" fontId="0" fillId="4" borderId="2" xfId="2" applyNumberFormat="1" applyFont="1" applyFill="1" applyBorder="1" applyAlignment="1">
      <alignment horizontal="center" vertical="center"/>
    </xf>
    <xf numFmtId="164" fontId="0" fillId="4" borderId="2" xfId="2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6" borderId="2" xfId="2" applyNumberFormat="1" applyFont="1" applyFill="1" applyBorder="1" applyAlignment="1">
      <alignment horizontal="center" vertical="center"/>
    </xf>
    <xf numFmtId="164" fontId="0" fillId="6" borderId="2" xfId="2" applyNumberFormat="1" applyFont="1" applyFill="1" applyBorder="1" applyAlignment="1">
      <alignment horizontal="center" vertical="center"/>
    </xf>
    <xf numFmtId="0" fontId="0" fillId="6" borderId="2" xfId="2" applyNumberFormat="1" applyFont="1" applyFill="1" applyBorder="1" applyAlignment="1">
      <alignment horizontal="center" vertical="center"/>
    </xf>
    <xf numFmtId="0" fontId="0" fillId="4" borderId="2" xfId="2" applyNumberFormat="1" applyFont="1" applyFill="1" applyBorder="1" applyAlignment="1">
      <alignment horizontal="center" vertical="center"/>
    </xf>
    <xf numFmtId="14" fontId="0" fillId="4" borderId="8" xfId="2" applyNumberFormat="1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4" fontId="0" fillId="5" borderId="2" xfId="2" applyNumberFormat="1" applyFont="1" applyFill="1" applyBorder="1" applyAlignment="1">
      <alignment horizontal="center" vertical="center"/>
    </xf>
    <xf numFmtId="0" fontId="0" fillId="5" borderId="2" xfId="2" applyFont="1" applyFill="1" applyBorder="1" applyAlignment="1">
      <alignment horizontal="center" vertical="center"/>
    </xf>
    <xf numFmtId="164" fontId="0" fillId="5" borderId="2" xfId="2" applyNumberFormat="1" applyFont="1" applyFill="1" applyBorder="1" applyAlignment="1">
      <alignment horizontal="center" vertical="center"/>
    </xf>
    <xf numFmtId="0" fontId="0" fillId="5" borderId="8" xfId="2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readingOrder="1"/>
    </xf>
    <xf numFmtId="0" fontId="0" fillId="0" borderId="2" xfId="0" applyFont="1" applyBorder="1" applyAlignment="1">
      <alignment horizontal="center" vertical="center" readingOrder="2"/>
    </xf>
    <xf numFmtId="14" fontId="0" fillId="0" borderId="2" xfId="0" applyNumberFormat="1" applyFont="1" applyBorder="1" applyAlignment="1">
      <alignment horizontal="center" vertical="center" readingOrder="1"/>
    </xf>
    <xf numFmtId="0" fontId="8" fillId="4" borderId="2" xfId="2" applyFont="1" applyFill="1" applyBorder="1" applyAlignment="1">
      <alignment horizontal="center" vertical="center"/>
    </xf>
    <xf numFmtId="164" fontId="8" fillId="4" borderId="2" xfId="2" applyNumberFormat="1" applyFont="1" applyFill="1" applyBorder="1" applyAlignment="1">
      <alignment horizontal="center" vertical="center"/>
    </xf>
    <xf numFmtId="0" fontId="8" fillId="4" borderId="8" xfId="2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14" fontId="0" fillId="7" borderId="2" xfId="0" applyNumberFormat="1" applyFont="1" applyFill="1" applyBorder="1" applyAlignment="1">
      <alignment horizontal="center" vertical="center"/>
    </xf>
    <xf numFmtId="164" fontId="0" fillId="7" borderId="2" xfId="0" applyNumberFormat="1" applyFont="1" applyFill="1" applyBorder="1" applyAlignment="1">
      <alignment horizontal="center" vertical="center"/>
    </xf>
    <xf numFmtId="0" fontId="0" fillId="7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4" borderId="10" xfId="2" applyFont="1" applyFill="1" applyBorder="1" applyAlignment="1">
      <alignment horizontal="center" vertical="center"/>
    </xf>
    <xf numFmtId="0" fontId="0" fillId="5" borderId="10" xfId="2" applyFont="1" applyFill="1" applyBorder="1" applyAlignment="1">
      <alignment horizontal="center" vertical="center"/>
    </xf>
    <xf numFmtId="14" fontId="0" fillId="5" borderId="10" xfId="2" applyNumberFormat="1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4" fillId="4" borderId="5" xfId="1" applyNumberFormat="1" applyFont="1" applyFill="1" applyBorder="1" applyAlignment="1">
      <alignment horizontal="center" vertical="center"/>
    </xf>
    <xf numFmtId="0" fontId="4" fillId="4" borderId="2" xfId="1" applyNumberFormat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</cellXfs>
  <cellStyles count="3">
    <cellStyle name="Good" xfId="1" builtinId="26"/>
    <cellStyle name="Normal" xfId="0" builtinId="0"/>
    <cellStyle name="Output" xfId="2" builtinId="21"/>
  </cellStyles>
  <dxfs count="4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rightToLeft="1" tabSelected="1" topLeftCell="D50" workbookViewId="0">
      <selection activeCell="H66" sqref="A1:H66"/>
    </sheetView>
  </sheetViews>
  <sheetFormatPr defaultRowHeight="18.75" x14ac:dyDescent="0.25"/>
  <cols>
    <col min="1" max="1" width="0" style="12" hidden="1" customWidth="1"/>
    <col min="2" max="2" width="0" style="1" hidden="1" customWidth="1"/>
    <col min="3" max="3" width="13.7109375" style="2" hidden="1" customWidth="1"/>
    <col min="4" max="4" width="36.85546875" style="15" bestFit="1" customWidth="1"/>
    <col min="5" max="5" width="7.140625" style="15" bestFit="1" customWidth="1"/>
    <col min="6" max="6" width="16.28515625" style="17" bestFit="1" customWidth="1"/>
    <col min="7" max="7" width="27" style="15" hidden="1" customWidth="1"/>
    <col min="8" max="8" width="27" style="13" bestFit="1" customWidth="1"/>
    <col min="9" max="9" width="17.28515625" hidden="1" customWidth="1"/>
    <col min="10" max="11" width="0" hidden="1" customWidth="1"/>
  </cols>
  <sheetData>
    <row r="1" spans="1:11" ht="21" x14ac:dyDescent="0.25">
      <c r="A1" s="23">
        <v>1</v>
      </c>
      <c r="B1" s="68">
        <v>1</v>
      </c>
      <c r="C1" s="70">
        <v>105993</v>
      </c>
      <c r="D1" s="24" t="s">
        <v>0</v>
      </c>
      <c r="E1" s="24" t="s">
        <v>1</v>
      </c>
      <c r="F1" s="25">
        <v>37005</v>
      </c>
      <c r="G1" s="26" t="str">
        <f>IF(C1&lt;&gt;"",TEXT(C1,"000000"),#REF!)</f>
        <v>105993</v>
      </c>
      <c r="H1" s="27" t="str" cm="1">
        <f t="array" ref="H1">_xlfn.LET(
  _xlpm.emp, G1,
  _xlpm.st, TRIM(SUBSTITUTE(E1,CHAR(160),"")),
  _xlpm.isEmp, OR(_xlpm.st="موظف",_xlpm.st="الموظف",_xlpm.st="موظفة"),
  _xlpm.code, _xlfn.XLOOKUP(_xlpm.st, {"زوجة","ابن","ابنة","اب","ام"}, {"W","S","D","F","M"}, ""),
  _xlpm.seq, SUMPRODUCT(($G1:G$2=_xlpm.emp)*(TRIM(SUBSTITUTE($E1:E$2,CHAR(160),""))=_xlpm.st)),
  IF(_xlpm.isEmp, "WAB2025"&amp;_xlpm.emp, "WAB2025"&amp;_xlpm.emp&amp;_xlpm.code&amp;_xlpm.seq)
)</f>
        <v>WAB2025105993</v>
      </c>
    </row>
    <row r="2" spans="1:11" ht="21" x14ac:dyDescent="0.25">
      <c r="A2" s="21">
        <v>2</v>
      </c>
      <c r="B2" s="69"/>
      <c r="C2" s="71"/>
      <c r="D2" s="28" t="s">
        <v>2</v>
      </c>
      <c r="E2" s="28" t="s">
        <v>3</v>
      </c>
      <c r="F2" s="29">
        <v>27188</v>
      </c>
      <c r="G2" s="30" t="str">
        <f t="shared" ref="G2:G4" si="0">IF(C2&lt;&gt;"",TEXT(C2,"000000"),G1)</f>
        <v>105993</v>
      </c>
      <c r="H2" s="31" t="str" cm="1">
        <f t="array" ref="H2">_xlfn.LET(
  _xlpm.emp, G2,
  _xlpm.st, TRIM(SUBSTITUTE(E2,CHAR(160),"")),
  _xlpm.isEmp, OR(_xlpm.st="موظف",_xlpm.st="الموظف",_xlpm.st="موظفة"),
  _xlpm.code, _xlfn.XLOOKUP(_xlpm.st, {"زوجة","ابن","ابنة","اب","ام"}, {"W","S","D","F","M"}, ""),
  _xlpm.seq, SUMPRODUCT(($G$2:G2=_xlpm.emp)*(TRIM(SUBSTITUTE($E$2:E2,CHAR(160),""))=_xlpm.st)),
  IF(_xlpm.isEmp, "WAB2025"&amp;_xlpm.emp, "WAB2025"&amp;_xlpm.emp&amp;_xlpm.code&amp;_xlpm.seq)
)</f>
        <v>WAB2025105993F1</v>
      </c>
    </row>
    <row r="3" spans="1:11" ht="21" x14ac:dyDescent="0.25">
      <c r="A3" s="21">
        <v>3</v>
      </c>
      <c r="B3" s="69"/>
      <c r="C3" s="71"/>
      <c r="D3" s="32" t="s">
        <v>4</v>
      </c>
      <c r="E3" s="32" t="s">
        <v>5</v>
      </c>
      <c r="F3" s="29">
        <v>27327</v>
      </c>
      <c r="G3" s="30" t="str">
        <f t="shared" si="0"/>
        <v>105993</v>
      </c>
      <c r="H3" s="31" t="str" cm="1">
        <f t="array" ref="H3">_xlfn.LET(
  _xlpm.emp, G3,
  _xlpm.st, TRIM(SUBSTITUTE(E3,CHAR(160),"")),
  _xlpm.isEmp, OR(_xlpm.st="موظف",_xlpm.st="الموظف",_xlpm.st="موظفة"),
  _xlpm.code, _xlfn.XLOOKUP(_xlpm.st, {"زوجة","ابن","ابنة","اب","ام"}, {"W","S","D","F","M"}, ""),
  _xlpm.seq, SUMPRODUCT(($G$2:G3=_xlpm.emp)*(TRIM(SUBSTITUTE($E$2:E3,CHAR(160),""))=_xlpm.st)),
  IF(_xlpm.isEmp, "WAB2025"&amp;_xlpm.emp, "WAB2025"&amp;_xlpm.emp&amp;_xlpm.code&amp;_xlpm.seq)
)</f>
        <v>WAB2025105993M1</v>
      </c>
    </row>
    <row r="4" spans="1:11" ht="21" x14ac:dyDescent="0.25">
      <c r="A4" s="21">
        <v>335</v>
      </c>
      <c r="B4" s="4">
        <v>78</v>
      </c>
      <c r="C4" s="33">
        <v>105368</v>
      </c>
      <c r="D4" s="34" t="s">
        <v>6</v>
      </c>
      <c r="E4" s="28" t="s">
        <v>7</v>
      </c>
      <c r="F4" s="35">
        <v>35325</v>
      </c>
      <c r="G4" s="30" t="str">
        <f t="shared" si="0"/>
        <v>105368</v>
      </c>
      <c r="H4" s="31" t="s">
        <v>8</v>
      </c>
    </row>
    <row r="5" spans="1:11" ht="21" x14ac:dyDescent="0.25">
      <c r="A5" s="21">
        <v>380</v>
      </c>
      <c r="B5" s="4">
        <v>88</v>
      </c>
      <c r="C5" s="5">
        <v>105090</v>
      </c>
      <c r="D5" s="34" t="s">
        <v>126</v>
      </c>
      <c r="E5" s="34" t="s">
        <v>12</v>
      </c>
      <c r="F5" s="35">
        <v>34581</v>
      </c>
      <c r="G5" s="30" t="str">
        <f>IF(C5&lt;&gt;"",TEXT(C5,"000000"),G4)</f>
        <v>105090</v>
      </c>
      <c r="H5" s="31" t="s">
        <v>13</v>
      </c>
    </row>
    <row r="6" spans="1:11" ht="21" x14ac:dyDescent="0.25">
      <c r="A6" s="21">
        <v>372</v>
      </c>
      <c r="B6" s="4">
        <v>86</v>
      </c>
      <c r="C6" s="5">
        <v>105052</v>
      </c>
      <c r="D6" s="28" t="s">
        <v>14</v>
      </c>
      <c r="E6" s="36" t="s">
        <v>7</v>
      </c>
      <c r="F6" s="29">
        <v>45790</v>
      </c>
      <c r="G6" s="30" t="str">
        <f t="shared" ref="G6:G24" si="1">IF(C6&lt;&gt;"",TEXT(C6,"000000"),G5)</f>
        <v>105052</v>
      </c>
      <c r="H6" s="31" t="str" cm="1">
        <f t="array" ref="H6">_xlfn.LET(
  _xlpm.emp, G6,
  _xlpm.st, TRIM(SUBSTITUTE(E6,CHAR(160),"")),
  _xlpm.isEmp, OR(_xlpm.st="موظف",_xlpm.st="الموظف",_xlpm.st="موظفة"),
  _xlpm.code, _xlfn.XLOOKUP(_xlpm.st, {"زوجة","ابن","ابنة","اب","ام"}, {"W","S","D","F","M"}, ""),
  _xlpm.seq, SUMPRODUCT(($G$2:G6=_xlpm.emp)*(TRIM(SUBSTITUTE($E$2:E6,CHAR(160),""))=_xlpm.st)),
  IF(_xlpm.isEmp, "WAB2025"&amp;_xlpm.emp, "WAB2025"&amp;_xlpm.emp&amp;_xlpm.code&amp;_xlpm.seq)
)</f>
        <v>WAB2025105052S1</v>
      </c>
      <c r="I6" t="s">
        <v>15</v>
      </c>
      <c r="J6" t="s">
        <v>10</v>
      </c>
      <c r="K6" t="s">
        <v>9</v>
      </c>
    </row>
    <row r="7" spans="1:11" ht="21" x14ac:dyDescent="0.25">
      <c r="A7" s="21">
        <v>170</v>
      </c>
      <c r="B7" s="4">
        <v>39</v>
      </c>
      <c r="C7" s="5">
        <v>105356</v>
      </c>
      <c r="D7" s="28" t="s">
        <v>16</v>
      </c>
      <c r="E7" s="34" t="s">
        <v>3</v>
      </c>
      <c r="F7" s="29">
        <v>22656</v>
      </c>
      <c r="G7" s="30" t="str">
        <f t="shared" si="1"/>
        <v>105356</v>
      </c>
      <c r="H7" s="31" t="str" cm="1">
        <f t="array" ref="H7">_xlfn.LET(
  _xlpm.emp, G7,
  _xlpm.st, TRIM(SUBSTITUTE(E7,CHAR(160),"")),
  _xlpm.isEmp, OR(_xlpm.st="موظف",_xlpm.st="الموظف",_xlpm.st="موظفة"),
  _xlpm.code, _xlfn.XLOOKUP(_xlpm.st, {"زوجة","ابن","ابنة","اب","ام"}, {"W","S","D","F","M"}, ""),
  _xlpm.seq, SUMPRODUCT(($G$2:G7=_xlpm.emp)*(TRIM(SUBSTITUTE($E$2:E7,CHAR(160),""))=_xlpm.st)),
  IF(_xlpm.isEmp, "WAB2025"&amp;_xlpm.emp, "WAB2025"&amp;_xlpm.emp&amp;_xlpm.code&amp;_xlpm.seq)
)</f>
        <v>WAB2025105356F1</v>
      </c>
      <c r="I7" t="s">
        <v>18</v>
      </c>
      <c r="J7" t="s">
        <v>10</v>
      </c>
      <c r="K7" t="s">
        <v>9</v>
      </c>
    </row>
    <row r="8" spans="1:11" ht="21" x14ac:dyDescent="0.25">
      <c r="A8" s="21">
        <v>171</v>
      </c>
      <c r="B8" s="4">
        <v>39</v>
      </c>
      <c r="C8" s="6">
        <v>105356</v>
      </c>
      <c r="D8" s="32" t="s">
        <v>19</v>
      </c>
      <c r="E8" s="34" t="s">
        <v>5</v>
      </c>
      <c r="F8" s="29">
        <v>22496</v>
      </c>
      <c r="G8" s="30" t="str">
        <f t="shared" si="1"/>
        <v>105356</v>
      </c>
      <c r="H8" s="31" t="str" cm="1">
        <f t="array" ref="H8">_xlfn.LET(
  _xlpm.emp, G8,
  _xlpm.st, TRIM(SUBSTITUTE(E8,CHAR(160),"")),
  _xlpm.isEmp, OR(_xlpm.st="موظف",_xlpm.st="الموظف",_xlpm.st="موظفة"),
  _xlpm.code, _xlfn.XLOOKUP(_xlpm.st, {"زوجة","ابن","ابنة","اب","ام"}, {"W","S","D","F","M"}, ""),
  _xlpm.seq, SUMPRODUCT(($G$2:G8=_xlpm.emp)*(TRIM(SUBSTITUTE($E$2:E8,CHAR(160),""))=_xlpm.st)),
  IF(_xlpm.isEmp, "WAB2025"&amp;_xlpm.emp, "WAB2025"&amp;_xlpm.emp&amp;_xlpm.code&amp;_xlpm.seq)
)</f>
        <v>WAB2025105356M1</v>
      </c>
      <c r="I8" t="s">
        <v>18</v>
      </c>
      <c r="J8" t="s">
        <v>10</v>
      </c>
      <c r="K8" t="s">
        <v>9</v>
      </c>
    </row>
    <row r="9" spans="1:11" ht="21" x14ac:dyDescent="0.25">
      <c r="A9" s="21">
        <v>191</v>
      </c>
      <c r="B9" s="4">
        <v>45</v>
      </c>
      <c r="C9" s="6">
        <v>105323</v>
      </c>
      <c r="D9" s="34" t="s">
        <v>21</v>
      </c>
      <c r="E9" s="34" t="s">
        <v>3</v>
      </c>
      <c r="F9" s="35">
        <v>18264</v>
      </c>
      <c r="G9" s="30" t="str">
        <f t="shared" si="1"/>
        <v>105323</v>
      </c>
      <c r="H9" s="31" t="str" cm="1">
        <f t="array" ref="H9">_xlfn.LET(
  _xlpm.emp, G9,
  _xlpm.st, TRIM(SUBSTITUTE(E9,CHAR(160),"")),
  _xlpm.isEmp, OR(_xlpm.st="موظف",_xlpm.st="الموظف",_xlpm.st="موظفة"),
  _xlpm.code, _xlfn.XLOOKUP(_xlpm.st, {"زوجة","ابن","ابنة","اب","ام"}, {"W","S","D","F","M"}, ""),
  _xlpm.seq, SUMPRODUCT(($G$2:G9=_xlpm.emp)*(TRIM(SUBSTITUTE($E$2:E9,CHAR(160),""))=_xlpm.st)),
  IF(_xlpm.isEmp, "WAB2025"&amp;_xlpm.emp, "WAB2025"&amp;_xlpm.emp&amp;_xlpm.code&amp;_xlpm.seq)
)</f>
        <v>WAB2025105323F1</v>
      </c>
      <c r="I9" t="s">
        <v>22</v>
      </c>
      <c r="J9" t="s">
        <v>10</v>
      </c>
      <c r="K9" t="s">
        <v>9</v>
      </c>
    </row>
    <row r="10" spans="1:11" ht="21" x14ac:dyDescent="0.25">
      <c r="A10" s="21">
        <v>192</v>
      </c>
      <c r="B10" s="4">
        <v>45</v>
      </c>
      <c r="C10" s="6">
        <v>105323</v>
      </c>
      <c r="D10" s="34" t="s">
        <v>23</v>
      </c>
      <c r="E10" s="34" t="s">
        <v>5</v>
      </c>
      <c r="F10" s="35">
        <v>22890</v>
      </c>
      <c r="G10" s="30" t="str">
        <f t="shared" si="1"/>
        <v>105323</v>
      </c>
      <c r="H10" s="31" t="str" cm="1">
        <f t="array" ref="H10">_xlfn.LET(
  _xlpm.emp, G10,
  _xlpm.st, TRIM(SUBSTITUTE(E10,CHAR(160),"")),
  _xlpm.isEmp, OR(_xlpm.st="موظف",_xlpm.st="الموظف",_xlpm.st="موظفة"),
  _xlpm.code, _xlfn.XLOOKUP(_xlpm.st, {"زوجة","ابن","ابنة","اب","ام"}, {"W","S","D","F","M"}, ""),
  _xlpm.seq, SUMPRODUCT(($G$2:G10=_xlpm.emp)*(TRIM(SUBSTITUTE($E$2:E10,CHAR(160),""))=_xlpm.st)),
  IF(_xlpm.isEmp, "WAB2025"&amp;_xlpm.emp, "WAB2025"&amp;_xlpm.emp&amp;_xlpm.code&amp;_xlpm.seq)
)</f>
        <v>WAB2025105323M1</v>
      </c>
      <c r="I10" t="s">
        <v>22</v>
      </c>
      <c r="J10" t="s">
        <v>10</v>
      </c>
      <c r="K10" t="s">
        <v>9</v>
      </c>
    </row>
    <row r="11" spans="1:11" ht="21" x14ac:dyDescent="0.25">
      <c r="A11" s="21">
        <v>441</v>
      </c>
      <c r="B11" s="4">
        <v>101</v>
      </c>
      <c r="C11" s="6">
        <v>9800</v>
      </c>
      <c r="D11" s="28" t="s">
        <v>24</v>
      </c>
      <c r="E11" s="34" t="s">
        <v>7</v>
      </c>
      <c r="F11" s="35">
        <v>44108</v>
      </c>
      <c r="G11" s="30" t="str">
        <f t="shared" si="1"/>
        <v>009800</v>
      </c>
      <c r="H11" s="31" t="str" cm="1">
        <f t="array" ref="H11">_xlfn.LET(
  _xlpm.emp, G11,
  _xlpm.st, TRIM(SUBSTITUTE(E11,CHAR(160),"")),
  _xlpm.isEmp, OR(_xlpm.st="موظف",_xlpm.st="الموظف",_xlpm.st="موظفة"),
  _xlpm.code, _xlfn.XLOOKUP(_xlpm.st, {"زوجة","ابن","ابنة","اب","ام"}, {"W","S","D","F","M"}, ""),
  _xlpm.seq, SUMPRODUCT(($G$2:G11=_xlpm.emp)*(TRIM(SUBSTITUTE($E$2:E11,CHAR(160),""))=_xlpm.st)),
  IF(_xlpm.isEmp, "WAB2025"&amp;_xlpm.emp, "WAB2025"&amp;_xlpm.emp&amp;_xlpm.code&amp;_xlpm.seq)
)</f>
        <v>WAB2025009800S1</v>
      </c>
      <c r="I11" t="s">
        <v>25</v>
      </c>
    </row>
    <row r="12" spans="1:11" ht="21" x14ac:dyDescent="0.25">
      <c r="A12" s="21">
        <v>178</v>
      </c>
      <c r="B12" s="4">
        <v>40</v>
      </c>
      <c r="C12" s="6">
        <v>105917</v>
      </c>
      <c r="D12" s="34" t="s">
        <v>26</v>
      </c>
      <c r="E12" s="34" t="s">
        <v>3</v>
      </c>
      <c r="F12" s="35">
        <v>22310</v>
      </c>
      <c r="G12" s="30" t="str">
        <f t="shared" si="1"/>
        <v>105917</v>
      </c>
      <c r="H12" s="31" t="str" cm="1">
        <f t="array" ref="H12">_xlfn.LET(
  _xlpm.emp, G12,
  _xlpm.st, TRIM(SUBSTITUTE(E12,CHAR(160),"")),
  _xlpm.isEmp, OR(_xlpm.st="موظف",_xlpm.st="الموظف",_xlpm.st="موظفة"),
  _xlpm.code, _xlfn.XLOOKUP(_xlpm.st, {"زوجة","ابن","ابنة","اب","ام"}, {"W","S","D","F","M"}, ""),
  _xlpm.seq, SUMPRODUCT(($G$2:G12=_xlpm.emp)*(TRIM(SUBSTITUTE($E$2:E12,CHAR(160),""))=_xlpm.st)),
  IF(_xlpm.isEmp, "WAB2025"&amp;_xlpm.emp, "WAB2025"&amp;_xlpm.emp&amp;_xlpm.code&amp;_xlpm.seq)
)</f>
        <v>WAB2025105917F1</v>
      </c>
      <c r="I12" t="s">
        <v>27</v>
      </c>
      <c r="J12" t="s">
        <v>10</v>
      </c>
      <c r="K12" t="s">
        <v>9</v>
      </c>
    </row>
    <row r="13" spans="1:11" ht="21" x14ac:dyDescent="0.25">
      <c r="A13" s="21">
        <v>498</v>
      </c>
      <c r="B13" s="4">
        <v>115</v>
      </c>
      <c r="C13" s="6">
        <v>105977</v>
      </c>
      <c r="D13" s="28" t="s">
        <v>28</v>
      </c>
      <c r="E13" s="28" t="s">
        <v>12</v>
      </c>
      <c r="F13" s="35">
        <v>30806</v>
      </c>
      <c r="G13" s="30" t="str">
        <f t="shared" si="1"/>
        <v>105977</v>
      </c>
      <c r="H13" s="31" t="str" cm="1">
        <f t="array" ref="H13">_xlfn.LET(
  _xlpm.emp, G13,
  _xlpm.st, TRIM(SUBSTITUTE(E13,CHAR(160),"")),
  _xlpm.isEmp, OR(_xlpm.st="موظف",_xlpm.st="الموظف",_xlpm.st="موظفة"),
  _xlpm.code, _xlfn.XLOOKUP(_xlpm.st, {"زوجة","ابن","ابنة","اب","ام"}, {"W","S","D","F","M"}, ""),
  _xlpm.seq, SUMPRODUCT(($G$2:G13=_xlpm.emp)*(TRIM(SUBSTITUTE($E$2:E13,CHAR(160),""))=_xlpm.st)),
  IF(_xlpm.isEmp, "WAB2025"&amp;_xlpm.emp, "WAB2025"&amp;_xlpm.emp&amp;_xlpm.code&amp;_xlpm.seq)
)</f>
        <v>WAB2025105977W1</v>
      </c>
      <c r="I13" t="s">
        <v>30</v>
      </c>
      <c r="J13" t="s">
        <v>10</v>
      </c>
      <c r="K13" t="s">
        <v>11</v>
      </c>
    </row>
    <row r="14" spans="1:11" ht="21" x14ac:dyDescent="0.25">
      <c r="A14" s="21">
        <v>214</v>
      </c>
      <c r="B14" s="4">
        <v>50</v>
      </c>
      <c r="C14" s="6">
        <v>104967</v>
      </c>
      <c r="D14" s="34" t="s">
        <v>31</v>
      </c>
      <c r="E14" s="28" t="s">
        <v>32</v>
      </c>
      <c r="F14" s="35">
        <v>21765</v>
      </c>
      <c r="G14" s="30" t="str">
        <f t="shared" si="1"/>
        <v>104967</v>
      </c>
      <c r="H14" s="31" t="str" cm="1">
        <f t="array" ref="H14">_xlfn.LET(
  _xlpm.emp, G14,
  _xlpm.st, TRIM(SUBSTITUTE(E14,CHAR(160),"")),
  _xlpm.isEmp, OR(_xlpm.st="موظف",_xlpm.st="الموظف",_xlpm.st="موظفة"),
  _xlpm.code, _xlfn.XLOOKUP(_xlpm.st, {"زوجة","ابن","ابنة","اب","ام"}, {"W","S","D","F","M"}, ""),
  _xlpm.seq, SUMPRODUCT(($G$2:G14=_xlpm.emp)*(TRIM(SUBSTITUTE($E$2:E14,CHAR(160),""))=_xlpm.st)),
  IF(_xlpm.isEmp, "WAB2025"&amp;_xlpm.emp, "WAB2025"&amp;_xlpm.emp&amp;_xlpm.code&amp;_xlpm.seq)
)</f>
        <v>WAB2025104967F1</v>
      </c>
      <c r="I14" t="s">
        <v>33</v>
      </c>
      <c r="J14" t="s">
        <v>10</v>
      </c>
      <c r="K14" t="s">
        <v>9</v>
      </c>
    </row>
    <row r="15" spans="1:11" ht="21" x14ac:dyDescent="0.25">
      <c r="A15" s="21">
        <v>215</v>
      </c>
      <c r="B15" s="4">
        <v>50</v>
      </c>
      <c r="C15" s="5"/>
      <c r="D15" s="34" t="s">
        <v>34</v>
      </c>
      <c r="E15" s="34" t="s">
        <v>35</v>
      </c>
      <c r="F15" s="35">
        <v>23021</v>
      </c>
      <c r="G15" s="30" t="str">
        <f t="shared" si="1"/>
        <v>104967</v>
      </c>
      <c r="H15" s="31" t="str" cm="1">
        <f t="array" ref="H15">_xlfn.LET(
  _xlpm.emp, G15,
  _xlpm.st, TRIM(SUBSTITUTE(E15,CHAR(160),"")),
  _xlpm.isEmp, OR(_xlpm.st="موظف",_xlpm.st="الموظف",_xlpm.st="موظفة"),
  _xlpm.code, _xlfn.XLOOKUP(_xlpm.st, {"زوجة","ابن","ابنة","اب","ام"}, {"W","S","D","F","M"}, ""),
  _xlpm.seq, SUMPRODUCT(($G$2:G15=_xlpm.emp)*(TRIM(SUBSTITUTE($E$2:E15,CHAR(160),""))=_xlpm.st)),
  IF(_xlpm.isEmp, "WAB2025"&amp;_xlpm.emp, "WAB2025"&amp;_xlpm.emp&amp;_xlpm.code&amp;_xlpm.seq)
)</f>
        <v>WAB2025104967M1</v>
      </c>
      <c r="I15" t="s">
        <v>36</v>
      </c>
      <c r="J15" t="s">
        <v>10</v>
      </c>
      <c r="K15" t="s">
        <v>9</v>
      </c>
    </row>
    <row r="16" spans="1:11" ht="21" x14ac:dyDescent="0.25">
      <c r="A16" s="21">
        <v>592</v>
      </c>
      <c r="B16" s="4">
        <v>134</v>
      </c>
      <c r="C16" s="5">
        <v>9378</v>
      </c>
      <c r="D16" s="28" t="s">
        <v>37</v>
      </c>
      <c r="E16" s="28" t="s">
        <v>5</v>
      </c>
      <c r="F16" s="29">
        <v>19725</v>
      </c>
      <c r="G16" s="30" t="str">
        <f t="shared" si="1"/>
        <v>009378</v>
      </c>
      <c r="H16" s="31" t="str" cm="1">
        <f t="array" ref="H16">_xlfn.LET(
  _xlpm.emp, G16,
  _xlpm.st, TRIM(SUBSTITUTE(E16,CHAR(160),"")),
  _xlpm.isEmp, OR(_xlpm.st="موظف",_xlpm.st="الموظف",_xlpm.st="موظفة"),
  _xlpm.code, _xlfn.XLOOKUP(_xlpm.st, {"زوجة","ابن","ابنة","اب","ام"}, {"W","S","D","F","M"}, ""),
  _xlpm.seq, SUMPRODUCT(($G$2:G16=_xlpm.emp)*(TRIM(SUBSTITUTE($E$2:E16,CHAR(160),""))=_xlpm.st)),
  IF(_xlpm.isEmp, "WAB2025"&amp;_xlpm.emp, "WAB2025"&amp;_xlpm.emp&amp;_xlpm.code&amp;_xlpm.seq)
)</f>
        <v>WAB2025009378M1</v>
      </c>
      <c r="I16" t="s">
        <v>38</v>
      </c>
    </row>
    <row r="17" spans="1:13" ht="21" x14ac:dyDescent="0.25">
      <c r="A17" s="21">
        <v>530</v>
      </c>
      <c r="B17" s="4">
        <v>121</v>
      </c>
      <c r="C17" s="5">
        <v>9881</v>
      </c>
      <c r="D17" s="32" t="s">
        <v>39</v>
      </c>
      <c r="E17" s="34" t="s">
        <v>7</v>
      </c>
      <c r="F17" s="35">
        <v>43470</v>
      </c>
      <c r="G17" s="30" t="str">
        <f t="shared" si="1"/>
        <v>009881</v>
      </c>
      <c r="H17" s="31" t="str" cm="1">
        <f t="array" ref="H17">_xlfn.LET(
  _xlpm.emp, G17,
  _xlpm.st, TRIM(SUBSTITUTE(E17,CHAR(160),"")),
  _xlpm.isEmp, OR(_xlpm.st="موظف",_xlpm.st="الموظف",_xlpm.st="موظفة"),
  _xlpm.code, _xlfn.XLOOKUP(_xlpm.st, {"زوجة","ابن","ابنة","اب","ام"}, {"W","S","D","F","M"}, ""),
  _xlpm.seq, SUMPRODUCT(($G$2:G17=_xlpm.emp)*(TRIM(SUBSTITUTE($E$2:E17,CHAR(160),""))=_xlpm.st)),
  IF(_xlpm.isEmp, "WAB2025"&amp;_xlpm.emp, "WAB2025"&amp;_xlpm.emp&amp;_xlpm.code&amp;_xlpm.seq)
)</f>
        <v>WAB2025009881S1</v>
      </c>
      <c r="I17" t="s">
        <v>40</v>
      </c>
      <c r="J17" t="s">
        <v>10</v>
      </c>
      <c r="K17" t="s">
        <v>11</v>
      </c>
    </row>
    <row r="18" spans="1:13" ht="21" x14ac:dyDescent="0.25">
      <c r="A18" s="21">
        <v>154</v>
      </c>
      <c r="B18" s="4">
        <v>35</v>
      </c>
      <c r="C18" s="5">
        <v>9935</v>
      </c>
      <c r="D18" s="32" t="s">
        <v>41</v>
      </c>
      <c r="E18" s="34" t="s">
        <v>3</v>
      </c>
      <c r="F18" s="35">
        <v>12055</v>
      </c>
      <c r="G18" s="30" t="str">
        <f t="shared" si="1"/>
        <v>009935</v>
      </c>
      <c r="H18" s="31" t="str" cm="1">
        <f t="array" ref="H18">_xlfn.LET(
  _xlpm.emp, G18,
  _xlpm.st, TRIM(SUBSTITUTE(E18,CHAR(160),"")),
  _xlpm.isEmp, OR(_xlpm.st="موظف",_xlpm.st="الموظف",_xlpm.st="موظفة"),
  _xlpm.code, _xlfn.XLOOKUP(_xlpm.st, {"زوجة","ابن","ابنة","اب","ام"}, {"W","S","D","F","M"}, ""),
  _xlpm.seq, SUMPRODUCT(($G$2:G18=_xlpm.emp)*(TRIM(SUBSTITUTE($E$2:E18,CHAR(160),""))=_xlpm.st)),
  IF(_xlpm.isEmp, "WAB2025"&amp;_xlpm.emp, "WAB2025"&amp;_xlpm.emp&amp;_xlpm.code&amp;_xlpm.seq)
)</f>
        <v>WAB2025009935F1</v>
      </c>
      <c r="I18" t="s">
        <v>42</v>
      </c>
      <c r="J18" t="s">
        <v>10</v>
      </c>
      <c r="K18" t="s">
        <v>9</v>
      </c>
    </row>
    <row r="19" spans="1:13" ht="21" x14ac:dyDescent="0.25">
      <c r="A19" s="21">
        <v>155</v>
      </c>
      <c r="B19" s="4"/>
      <c r="C19" s="5"/>
      <c r="D19" s="32" t="s">
        <v>43</v>
      </c>
      <c r="E19" s="34" t="s">
        <v>5</v>
      </c>
      <c r="F19" s="35">
        <v>16136</v>
      </c>
      <c r="G19" s="30" t="str">
        <f t="shared" si="1"/>
        <v>009935</v>
      </c>
      <c r="H19" s="31" t="str" cm="1">
        <f t="array" ref="H19">_xlfn.LET(
  _xlpm.emp, G19,
  _xlpm.st, TRIM(SUBSTITUTE(E19,CHAR(160),"")),
  _xlpm.isEmp, OR(_xlpm.st="موظف",_xlpm.st="الموظف",_xlpm.st="موظفة"),
  _xlpm.code, _xlfn.XLOOKUP(_xlpm.st, {"زوجة","ابن","ابنة","اب","ام"}, {"W","S","D","F","M"}, ""),
  _xlpm.seq, SUMPRODUCT(($G$2:G19=_xlpm.emp)*(TRIM(SUBSTITUTE($E$2:E19,CHAR(160),""))=_xlpm.st)),
  IF(_xlpm.isEmp, "WAB2025"&amp;_xlpm.emp, "WAB2025"&amp;_xlpm.emp&amp;_xlpm.code&amp;_xlpm.seq)
)</f>
        <v>WAB2025009935M1</v>
      </c>
      <c r="I19" t="s">
        <v>42</v>
      </c>
      <c r="J19" t="s">
        <v>10</v>
      </c>
      <c r="K19" t="s">
        <v>9</v>
      </c>
    </row>
    <row r="20" spans="1:13" ht="21" x14ac:dyDescent="0.25">
      <c r="A20" s="21">
        <v>160</v>
      </c>
      <c r="B20" s="4">
        <v>36</v>
      </c>
      <c r="C20" s="5">
        <v>4958</v>
      </c>
      <c r="D20" s="28" t="s">
        <v>44</v>
      </c>
      <c r="E20" s="28" t="s">
        <v>17</v>
      </c>
      <c r="F20" s="35">
        <v>19146</v>
      </c>
      <c r="G20" s="30" t="str">
        <f t="shared" si="1"/>
        <v>004958</v>
      </c>
      <c r="H20" s="31" t="str" cm="1">
        <f t="array" ref="H20">_xlfn.LET(
  _xlpm.emp, G20,
  _xlpm.st, TRIM(SUBSTITUTE(E20,CHAR(160),"")),
  _xlpm.isEmp, OR(_xlpm.st="موظف",_xlpm.st="الموظف",_xlpm.st="موظفة"),
  _xlpm.code, _xlfn.XLOOKUP(_xlpm.st, {"زوجة","ابن","ابنة","اب","ام"}, {"W","S","D","F","M"}, ""),
  _xlpm.seq, SUMPRODUCT(($G$2:G20=_xlpm.emp)*(TRIM(SUBSTITUTE($E$2:E20,CHAR(160),""))=_xlpm.st)),
  IF(_xlpm.isEmp, "WAB2025"&amp;_xlpm.emp, "WAB2025"&amp;_xlpm.emp&amp;_xlpm.code&amp;_xlpm.seq)
)</f>
        <v>WAB20250049581</v>
      </c>
      <c r="I20" t="s">
        <v>45</v>
      </c>
      <c r="J20" t="s">
        <v>10</v>
      </c>
      <c r="K20" t="s">
        <v>9</v>
      </c>
    </row>
    <row r="21" spans="1:13" ht="21" x14ac:dyDescent="0.25">
      <c r="A21" s="21">
        <v>355</v>
      </c>
      <c r="B21" s="4">
        <v>82</v>
      </c>
      <c r="C21" s="5">
        <v>3431</v>
      </c>
      <c r="D21" s="34" t="s">
        <v>46</v>
      </c>
      <c r="E21" s="28" t="s">
        <v>7</v>
      </c>
      <c r="F21" s="35">
        <v>40293</v>
      </c>
      <c r="G21" s="30" t="str">
        <f t="shared" si="1"/>
        <v>003431</v>
      </c>
      <c r="H21" s="31" t="str" cm="1">
        <f t="array" ref="H21">_xlfn.LET(
  _xlpm.emp, G21,
  _xlpm.st, TRIM(SUBSTITUTE(E21,CHAR(160),"")),
  _xlpm.isEmp, OR(_xlpm.st="موظف",_xlpm.st="الموظف",_xlpm.st="موظفة"),
  _xlpm.code, _xlfn.XLOOKUP(_xlpm.st, {"زوجة","ابن","ابنة","اب","ام"}, {"W","S","D","F","M"}, ""),
  _xlpm.seq, SUMPRODUCT(($G$2:G21=_xlpm.emp)*(TRIM(SUBSTITUTE($E$2:E21,CHAR(160),""))=_xlpm.st)),
  IF(_xlpm.isEmp, "WAB2025"&amp;_xlpm.emp, "WAB2025"&amp;_xlpm.emp&amp;_xlpm.code&amp;_xlpm.seq)
)</f>
        <v>WAB2025003431S1</v>
      </c>
      <c r="I21" t="s">
        <v>47</v>
      </c>
    </row>
    <row r="22" spans="1:13" ht="21" x14ac:dyDescent="0.25">
      <c r="A22" s="21">
        <v>586</v>
      </c>
      <c r="B22" s="4">
        <v>133</v>
      </c>
      <c r="C22" s="5">
        <v>1285</v>
      </c>
      <c r="D22" s="34" t="s">
        <v>48</v>
      </c>
      <c r="E22" s="28" t="s">
        <v>12</v>
      </c>
      <c r="F22" s="35">
        <v>24108</v>
      </c>
      <c r="G22" s="30" t="str">
        <f t="shared" si="1"/>
        <v>001285</v>
      </c>
      <c r="H22" s="31" t="str" cm="1">
        <f t="array" ref="H22">_xlfn.LET(
  _xlpm.emp, G22,
  _xlpm.st, TRIM(SUBSTITUTE(E22,CHAR(160),"")),
  _xlpm.isEmp, OR(_xlpm.st="موظف",_xlpm.st="الموظف",_xlpm.st="موظفة"),
  _xlpm.code, _xlfn.XLOOKUP(_xlpm.st, {"زوجة","ابن","ابنة","اب","ام"}, {"W","S","D","F","M"}, ""),
  _xlpm.seq, SUMPRODUCT(($G$2:G22=_xlpm.emp)*(TRIM(SUBSTITUTE($E$2:E22,CHAR(160),""))=_xlpm.st)),
  IF(_xlpm.isEmp, "WAB2025"&amp;_xlpm.emp, "WAB2025"&amp;_xlpm.emp&amp;_xlpm.code&amp;_xlpm.seq)
)</f>
        <v>WAB2025001285W1</v>
      </c>
      <c r="I22" t="s">
        <v>49</v>
      </c>
    </row>
    <row r="23" spans="1:13" ht="21" x14ac:dyDescent="0.25">
      <c r="A23" s="21">
        <v>127</v>
      </c>
      <c r="B23" s="4">
        <v>28</v>
      </c>
      <c r="C23" s="5">
        <v>12079</v>
      </c>
      <c r="D23" s="28" t="s">
        <v>50</v>
      </c>
      <c r="E23" s="34" t="s">
        <v>3</v>
      </c>
      <c r="F23" s="29">
        <v>18264</v>
      </c>
      <c r="G23" s="30" t="str">
        <f t="shared" si="1"/>
        <v>012079</v>
      </c>
      <c r="H23" s="31" t="str" cm="1">
        <f t="array" ref="H23">_xlfn.LET(
  _xlpm.emp, G23,
  _xlpm.st, TRIM(SUBSTITUTE(E23,CHAR(160),"")),
  _xlpm.isEmp, OR(_xlpm.st="موظف",_xlpm.st="الموظف",_xlpm.st="موظفة"),
  _xlpm.code, _xlfn.XLOOKUP(_xlpm.st, {"زوجة","ابن","ابنة","اب","ام"}, {"W","S","D","F","M"}, ""),
  _xlpm.seq, SUMPRODUCT(($G$2:G23=_xlpm.emp)*(TRIM(SUBSTITUTE($E$2:E23,CHAR(160),""))=_xlpm.st)),
  IF(_xlpm.isEmp, "WAB2025"&amp;_xlpm.emp, "WAB2025"&amp;_xlpm.emp&amp;_xlpm.code&amp;_xlpm.seq)
)</f>
        <v>WAB2025012079F1</v>
      </c>
      <c r="I23" t="s">
        <v>51</v>
      </c>
      <c r="J23" t="s">
        <v>10</v>
      </c>
      <c r="K23" t="s">
        <v>9</v>
      </c>
    </row>
    <row r="24" spans="1:13" ht="21" x14ac:dyDescent="0.25">
      <c r="A24" s="21">
        <v>136</v>
      </c>
      <c r="B24" s="4">
        <v>32</v>
      </c>
      <c r="C24" s="5">
        <v>380</v>
      </c>
      <c r="D24" s="32" t="s">
        <v>52</v>
      </c>
      <c r="E24" s="34" t="s">
        <v>5</v>
      </c>
      <c r="F24" s="29">
        <v>11324</v>
      </c>
      <c r="G24" s="30" t="str">
        <f t="shared" si="1"/>
        <v>000380</v>
      </c>
      <c r="H24" s="31" t="str" cm="1">
        <f t="array" ref="H24">_xlfn.LET(
  _xlpm.emp, G24,
  _xlpm.st, TRIM(SUBSTITUTE(E24,CHAR(160),"")),
  _xlpm.isEmp, OR(_xlpm.st="موظف",_xlpm.st="الموظف",_xlpm.st="موظفة"),
  _xlpm.code, _xlfn.XLOOKUP(_xlpm.st, {"زوجة","ابن","ابنة","اب","ام"}, {"W","S","D","F","M"}, ""),
  _xlpm.seq, SUMPRODUCT(($G$2:G24=_xlpm.emp)*(TRIM(SUBSTITUTE($E$2:E24,CHAR(160),""))=_xlpm.st)),
  IF(_xlpm.isEmp, "WAB2025"&amp;_xlpm.emp, "WAB2025"&amp;_xlpm.emp&amp;_xlpm.code&amp;_xlpm.seq)
)</f>
        <v>WAB2025000380M1</v>
      </c>
      <c r="I24" t="s">
        <v>53</v>
      </c>
      <c r="J24" t="s">
        <v>10</v>
      </c>
      <c r="K24" t="s">
        <v>9</v>
      </c>
    </row>
    <row r="25" spans="1:13" ht="26.25" customHeight="1" x14ac:dyDescent="0.25">
      <c r="A25" s="21">
        <v>1067</v>
      </c>
      <c r="B25" s="7">
        <v>236</v>
      </c>
      <c r="C25" s="6">
        <v>3184</v>
      </c>
      <c r="D25" s="37" t="s">
        <v>54</v>
      </c>
      <c r="E25" s="37" t="s">
        <v>5</v>
      </c>
      <c r="F25" s="38">
        <v>15707</v>
      </c>
      <c r="G25" s="39"/>
      <c r="H25" s="31" t="s">
        <v>55</v>
      </c>
    </row>
    <row r="26" spans="1:13" ht="26.25" customHeight="1" x14ac:dyDescent="0.25">
      <c r="A26" s="21">
        <v>666</v>
      </c>
      <c r="B26" s="7">
        <v>146</v>
      </c>
      <c r="C26" s="6">
        <v>9549</v>
      </c>
      <c r="D26" s="34" t="s">
        <v>56</v>
      </c>
      <c r="E26" s="34" t="s">
        <v>7</v>
      </c>
      <c r="F26" s="35">
        <v>42794</v>
      </c>
      <c r="G26" s="40"/>
      <c r="H26" s="31" t="s">
        <v>57</v>
      </c>
    </row>
    <row r="27" spans="1:13" ht="26.25" customHeight="1" x14ac:dyDescent="0.25">
      <c r="A27" s="21">
        <v>145</v>
      </c>
      <c r="B27" s="7">
        <v>30</v>
      </c>
      <c r="C27" s="6">
        <v>105907</v>
      </c>
      <c r="D27" s="28" t="s">
        <v>58</v>
      </c>
      <c r="E27" s="36" t="s">
        <v>20</v>
      </c>
      <c r="F27" s="36">
        <v>18994</v>
      </c>
      <c r="G27" s="28"/>
      <c r="H27" s="31" t="s">
        <v>59</v>
      </c>
    </row>
    <row r="28" spans="1:13" s="3" customFormat="1" ht="24.95" customHeight="1" x14ac:dyDescent="0.25">
      <c r="A28" s="22">
        <v>679</v>
      </c>
      <c r="B28" s="4"/>
      <c r="C28" s="5"/>
      <c r="D28" s="34" t="s">
        <v>60</v>
      </c>
      <c r="E28" s="34" t="s">
        <v>29</v>
      </c>
      <c r="F28" s="35">
        <v>41894</v>
      </c>
      <c r="G28" s="32"/>
      <c r="H28" s="41" t="s">
        <v>61</v>
      </c>
      <c r="I28" s="18" t="s">
        <v>10</v>
      </c>
      <c r="J28" s="8" t="s">
        <v>62</v>
      </c>
      <c r="K28" s="9"/>
      <c r="L28" s="9" t="s">
        <v>63</v>
      </c>
      <c r="M28"/>
    </row>
    <row r="29" spans="1:13" ht="21" x14ac:dyDescent="0.25">
      <c r="A29" s="21">
        <v>1023</v>
      </c>
      <c r="B29" s="69">
        <v>218</v>
      </c>
      <c r="C29" s="69">
        <v>3583</v>
      </c>
      <c r="D29" s="34" t="s">
        <v>64</v>
      </c>
      <c r="E29" s="34" t="s">
        <v>7</v>
      </c>
      <c r="F29" s="35">
        <v>39301</v>
      </c>
      <c r="G29" s="34"/>
      <c r="H29" s="31" t="s">
        <v>67</v>
      </c>
    </row>
    <row r="30" spans="1:13" ht="21" x14ac:dyDescent="0.25">
      <c r="A30" s="21">
        <v>1024</v>
      </c>
      <c r="B30" s="69"/>
      <c r="C30" s="69"/>
      <c r="D30" s="34" t="s">
        <v>65</v>
      </c>
      <c r="E30" s="34" t="s">
        <v>7</v>
      </c>
      <c r="F30" s="35">
        <v>39853</v>
      </c>
      <c r="G30" s="34"/>
      <c r="H30" s="31" t="s">
        <v>68</v>
      </c>
    </row>
    <row r="31" spans="1:13" ht="21" x14ac:dyDescent="0.25">
      <c r="A31" s="21">
        <v>1025</v>
      </c>
      <c r="B31" s="69"/>
      <c r="C31" s="69"/>
      <c r="D31" s="34" t="s">
        <v>66</v>
      </c>
      <c r="E31" s="34" t="s">
        <v>7</v>
      </c>
      <c r="F31" s="35">
        <v>40969</v>
      </c>
      <c r="G31" s="34"/>
      <c r="H31" s="31" t="s">
        <v>69</v>
      </c>
    </row>
    <row r="32" spans="1:13" ht="21" x14ac:dyDescent="0.25">
      <c r="A32" s="21">
        <v>515</v>
      </c>
      <c r="B32" s="4">
        <v>119</v>
      </c>
      <c r="C32" s="5">
        <v>104419</v>
      </c>
      <c r="D32" s="34" t="s">
        <v>70</v>
      </c>
      <c r="E32" s="34" t="s">
        <v>5</v>
      </c>
      <c r="F32" s="35">
        <v>15707</v>
      </c>
      <c r="G32" s="30" t="str">
        <f t="shared" ref="G32" si="2">IF(C32&lt;&gt;"",TEXT(C32,"000000"),G31)</f>
        <v>104419</v>
      </c>
      <c r="H32" s="31" t="str" cm="1">
        <f t="array" ref="H32">_xlfn.LET(
  _xlpm.emp, G32,
  _xlpm.st, TRIM(SUBSTITUTE(E32,CHAR(160),"")),
  _xlpm.isEmp, OR(_xlpm.st="موظف",_xlpm.st="الموظف",_xlpm.st="موظفة"),
  _xlpm.code, _xlfn.XLOOKUP(_xlpm.st, {"زوجة","ابن","ابنة","اب","ام"}, {"W","S","D","F","M"}, ""),
  _xlpm.seq, SUMPRODUCT(($G$2:G32=_xlpm.emp)*(TRIM(SUBSTITUTE($E$2:E32,CHAR(160),""))=_xlpm.st)),
  IF(_xlpm.isEmp, "WAB2025"&amp;_xlpm.emp, "WAB2025"&amp;_xlpm.emp&amp;_xlpm.code&amp;_xlpm.seq)
)</f>
        <v>WAB2025104419M1</v>
      </c>
      <c r="I32" t="s">
        <v>71</v>
      </c>
      <c r="J32" t="s">
        <v>10</v>
      </c>
      <c r="K32" t="s">
        <v>11</v>
      </c>
    </row>
    <row r="33" spans="1:8" s="10" customFormat="1" ht="15" customHeight="1" x14ac:dyDescent="0.25">
      <c r="A33" s="42">
        <v>759</v>
      </c>
      <c r="B33" s="11"/>
      <c r="C33" s="11">
        <v>9628</v>
      </c>
      <c r="D33" s="14" t="s">
        <v>72</v>
      </c>
      <c r="E33" s="43" t="s">
        <v>1</v>
      </c>
      <c r="F33" s="43" t="s">
        <v>74</v>
      </c>
      <c r="G33" s="43" t="s">
        <v>10</v>
      </c>
      <c r="H33" s="44" t="s">
        <v>73</v>
      </c>
    </row>
    <row r="34" spans="1:8" s="10" customFormat="1" ht="15" customHeight="1" x14ac:dyDescent="0.25">
      <c r="A34" s="42">
        <v>761</v>
      </c>
      <c r="B34" s="11"/>
      <c r="C34" s="11">
        <v>9628</v>
      </c>
      <c r="D34" s="14" t="s">
        <v>75</v>
      </c>
      <c r="E34" s="43" t="s">
        <v>29</v>
      </c>
      <c r="F34" s="43" t="s">
        <v>77</v>
      </c>
      <c r="G34" s="43" t="s">
        <v>10</v>
      </c>
      <c r="H34" s="44" t="s">
        <v>76</v>
      </c>
    </row>
    <row r="35" spans="1:8" x14ac:dyDescent="0.25">
      <c r="A35" s="45"/>
      <c r="B35" s="4">
        <v>9627</v>
      </c>
      <c r="C35" s="5"/>
      <c r="D35" s="14" t="s">
        <v>78</v>
      </c>
      <c r="E35" s="28"/>
      <c r="F35" s="14" t="s">
        <v>80</v>
      </c>
      <c r="G35" s="28"/>
      <c r="H35" s="19" t="s">
        <v>79</v>
      </c>
    </row>
    <row r="36" spans="1:8" x14ac:dyDescent="0.25">
      <c r="A36" s="45"/>
      <c r="B36" s="72">
        <v>2745</v>
      </c>
      <c r="C36" s="5"/>
      <c r="D36" s="46" t="s">
        <v>81</v>
      </c>
      <c r="E36" s="47" t="s">
        <v>1</v>
      </c>
      <c r="F36" s="48">
        <v>23012</v>
      </c>
      <c r="G36" s="28"/>
      <c r="H36" s="49" t="s">
        <v>82</v>
      </c>
    </row>
    <row r="37" spans="1:8" x14ac:dyDescent="0.25">
      <c r="A37" s="45"/>
      <c r="B37" s="72"/>
      <c r="C37" s="5"/>
      <c r="D37" s="28" t="s">
        <v>83</v>
      </c>
      <c r="E37" s="34" t="s">
        <v>29</v>
      </c>
      <c r="F37" s="29">
        <v>35090</v>
      </c>
      <c r="G37" s="28"/>
      <c r="H37" s="31" t="s">
        <v>84</v>
      </c>
    </row>
    <row r="38" spans="1:8" x14ac:dyDescent="0.25">
      <c r="A38" s="45"/>
      <c r="B38" s="72"/>
      <c r="C38" s="5"/>
      <c r="D38" s="28" t="s">
        <v>85</v>
      </c>
      <c r="E38" s="34" t="s">
        <v>29</v>
      </c>
      <c r="F38" s="29">
        <v>38871</v>
      </c>
      <c r="G38" s="28"/>
      <c r="H38" s="31" t="s">
        <v>86</v>
      </c>
    </row>
    <row r="39" spans="1:8" x14ac:dyDescent="0.25">
      <c r="A39" s="45"/>
      <c r="B39" s="67">
        <v>4248</v>
      </c>
      <c r="C39" s="5"/>
      <c r="D39" s="29" t="s">
        <v>87</v>
      </c>
      <c r="E39" s="28" t="s">
        <v>1</v>
      </c>
      <c r="F39" s="29">
        <v>24473</v>
      </c>
      <c r="G39" s="28"/>
      <c r="H39" s="31" t="s">
        <v>88</v>
      </c>
    </row>
    <row r="40" spans="1:8" x14ac:dyDescent="0.25">
      <c r="A40" s="45"/>
      <c r="B40" s="67"/>
      <c r="C40" s="5"/>
      <c r="D40" s="29" t="s">
        <v>89</v>
      </c>
      <c r="E40" s="28" t="s">
        <v>5</v>
      </c>
      <c r="F40" s="29">
        <v>17899</v>
      </c>
      <c r="G40" s="28"/>
      <c r="H40" s="31" t="s">
        <v>90</v>
      </c>
    </row>
    <row r="41" spans="1:8" x14ac:dyDescent="0.25">
      <c r="A41" s="45"/>
      <c r="B41" s="67"/>
      <c r="C41" s="5"/>
      <c r="D41" s="29" t="s">
        <v>91</v>
      </c>
      <c r="E41" s="28" t="s">
        <v>7</v>
      </c>
      <c r="F41" s="29">
        <v>37072</v>
      </c>
      <c r="G41" s="28"/>
      <c r="H41" s="31" t="s">
        <v>92</v>
      </c>
    </row>
    <row r="42" spans="1:8" x14ac:dyDescent="0.25">
      <c r="A42" s="45"/>
      <c r="B42" s="67"/>
      <c r="C42" s="5"/>
      <c r="D42" s="29" t="s">
        <v>93</v>
      </c>
      <c r="E42" s="28" t="s">
        <v>7</v>
      </c>
      <c r="F42" s="29">
        <v>37642</v>
      </c>
      <c r="G42" s="28"/>
      <c r="H42" s="31" t="s">
        <v>94</v>
      </c>
    </row>
    <row r="43" spans="1:8" x14ac:dyDescent="0.25">
      <c r="A43" s="45"/>
      <c r="B43" s="4"/>
      <c r="C43" s="5"/>
      <c r="D43" s="34" t="s">
        <v>95</v>
      </c>
      <c r="E43" s="34" t="s">
        <v>96</v>
      </c>
      <c r="F43" s="34">
        <v>45602</v>
      </c>
      <c r="G43" s="28"/>
      <c r="H43" s="50" t="s">
        <v>97</v>
      </c>
    </row>
    <row r="44" spans="1:8" x14ac:dyDescent="0.25">
      <c r="A44" s="45"/>
      <c r="B44" s="4"/>
      <c r="C44" s="5"/>
      <c r="D44" s="28" t="s">
        <v>98</v>
      </c>
      <c r="E44" s="28" t="s">
        <v>29</v>
      </c>
      <c r="F44" s="34">
        <v>40434</v>
      </c>
      <c r="G44" s="28"/>
      <c r="H44" s="44" t="s">
        <v>99</v>
      </c>
    </row>
    <row r="45" spans="1:8" x14ac:dyDescent="0.25">
      <c r="A45" s="45"/>
      <c r="B45" s="4"/>
      <c r="C45" s="5"/>
      <c r="D45" s="34" t="s">
        <v>100</v>
      </c>
      <c r="E45" s="34" t="s">
        <v>101</v>
      </c>
      <c r="F45" s="34">
        <v>43180</v>
      </c>
      <c r="G45" s="28"/>
      <c r="H45" s="31" t="s">
        <v>102</v>
      </c>
    </row>
    <row r="46" spans="1:8" x14ac:dyDescent="0.25">
      <c r="A46" s="45"/>
      <c r="B46" s="4"/>
      <c r="C46" s="5"/>
      <c r="D46" s="14" t="s">
        <v>103</v>
      </c>
      <c r="E46" s="28"/>
      <c r="F46" s="16" t="s">
        <v>104</v>
      </c>
      <c r="G46" s="28"/>
      <c r="H46" s="20" t="s">
        <v>105</v>
      </c>
    </row>
    <row r="47" spans="1:8" ht="21" x14ac:dyDescent="0.25">
      <c r="A47" s="21">
        <v>211</v>
      </c>
      <c r="B47" s="51">
        <v>47</v>
      </c>
      <c r="C47" s="51">
        <v>9846</v>
      </c>
      <c r="D47" s="52" t="s">
        <v>106</v>
      </c>
      <c r="E47" s="52" t="s">
        <v>107</v>
      </c>
      <c r="F47" s="53">
        <v>20821</v>
      </c>
      <c r="G47" s="28"/>
      <c r="H47" s="31" t="s">
        <v>108</v>
      </c>
    </row>
    <row r="48" spans="1:8" ht="21" x14ac:dyDescent="0.25">
      <c r="A48" s="21">
        <v>212</v>
      </c>
      <c r="B48" s="51"/>
      <c r="C48" s="51"/>
      <c r="D48" s="52" t="s">
        <v>109</v>
      </c>
      <c r="E48" s="52" t="s">
        <v>110</v>
      </c>
      <c r="F48" s="53">
        <v>42161</v>
      </c>
      <c r="G48" s="28"/>
      <c r="H48" s="31" t="s">
        <v>111</v>
      </c>
    </row>
    <row r="49" spans="1:8" x14ac:dyDescent="0.25">
      <c r="A49" s="45"/>
      <c r="B49" s="4"/>
      <c r="C49" s="5"/>
      <c r="D49" s="34" t="s">
        <v>112</v>
      </c>
      <c r="E49" s="34" t="s">
        <v>29</v>
      </c>
      <c r="F49" s="35">
        <v>41754</v>
      </c>
      <c r="G49" s="28"/>
      <c r="H49" s="41" t="s">
        <v>113</v>
      </c>
    </row>
    <row r="50" spans="1:8" x14ac:dyDescent="0.25">
      <c r="A50" s="45"/>
      <c r="B50" s="4"/>
      <c r="C50" s="5"/>
      <c r="D50" s="34" t="s">
        <v>114</v>
      </c>
      <c r="E50" s="34" t="s">
        <v>12</v>
      </c>
      <c r="F50" s="35">
        <v>26034</v>
      </c>
      <c r="G50" s="28"/>
      <c r="H50" s="41" t="s">
        <v>115</v>
      </c>
    </row>
    <row r="51" spans="1:8" x14ac:dyDescent="0.25">
      <c r="A51" s="45"/>
      <c r="B51" s="4"/>
      <c r="C51" s="5"/>
      <c r="D51" s="28" t="s">
        <v>117</v>
      </c>
      <c r="E51" s="28" t="s">
        <v>118</v>
      </c>
      <c r="F51" s="36">
        <v>35241</v>
      </c>
      <c r="G51" s="28"/>
      <c r="H51" s="31" t="s">
        <v>116</v>
      </c>
    </row>
    <row r="52" spans="1:8" x14ac:dyDescent="0.25">
      <c r="A52" s="45"/>
      <c r="B52" s="4"/>
      <c r="C52" s="66">
        <v>4724</v>
      </c>
      <c r="D52" s="47" t="s">
        <v>119</v>
      </c>
      <c r="E52" s="47" t="s">
        <v>120</v>
      </c>
      <c r="F52" s="46">
        <v>27062</v>
      </c>
      <c r="G52" s="30" t="str">
        <f t="shared" ref="G52" si="3">IF(C52&lt;&gt;"",TEXT(C52,"000000"),#REF!)</f>
        <v>004724</v>
      </c>
      <c r="H52" s="31" t="s">
        <v>121</v>
      </c>
    </row>
    <row r="53" spans="1:8" x14ac:dyDescent="0.25">
      <c r="A53" s="45"/>
      <c r="B53" s="4"/>
      <c r="C53" s="66"/>
      <c r="D53" s="28" t="s">
        <v>122</v>
      </c>
      <c r="E53" s="52" t="s">
        <v>29</v>
      </c>
      <c r="F53" s="36">
        <v>41073</v>
      </c>
      <c r="G53" s="30" t="str">
        <f t="shared" ref="G53:G54" si="4">IF(C53&lt;&gt;"",TEXT(C53,"000000"),G52)</f>
        <v>004724</v>
      </c>
      <c r="H53" s="31" t="s">
        <v>123</v>
      </c>
    </row>
    <row r="54" spans="1:8" x14ac:dyDescent="0.25">
      <c r="A54" s="45"/>
      <c r="B54" s="4"/>
      <c r="C54" s="66"/>
      <c r="D54" s="32" t="s">
        <v>124</v>
      </c>
      <c r="E54" s="34" t="s">
        <v>7</v>
      </c>
      <c r="F54" s="34">
        <v>41073</v>
      </c>
      <c r="G54" s="30" t="str">
        <f t="shared" si="4"/>
        <v>004724</v>
      </c>
      <c r="H54" s="31" t="s">
        <v>125</v>
      </c>
    </row>
    <row r="55" spans="1:8" x14ac:dyDescent="0.25">
      <c r="A55" s="45"/>
      <c r="B55" s="4"/>
      <c r="C55" s="5"/>
      <c r="D55" s="54" t="s">
        <v>127</v>
      </c>
      <c r="E55" s="28"/>
      <c r="F55" s="55" t="s">
        <v>129</v>
      </c>
      <c r="G55" s="28"/>
      <c r="H55" s="56" t="s">
        <v>131</v>
      </c>
    </row>
    <row r="56" spans="1:8" x14ac:dyDescent="0.25">
      <c r="A56" s="45"/>
      <c r="B56" s="4"/>
      <c r="C56" s="5"/>
      <c r="D56" s="54" t="s">
        <v>128</v>
      </c>
      <c r="E56" s="28"/>
      <c r="F56" s="55" t="s">
        <v>130</v>
      </c>
      <c r="G56" s="28"/>
      <c r="H56" s="56" t="s">
        <v>132</v>
      </c>
    </row>
    <row r="57" spans="1:8" x14ac:dyDescent="0.25">
      <c r="A57" s="45"/>
      <c r="B57" s="4"/>
      <c r="C57" s="5"/>
      <c r="D57" s="32" t="s">
        <v>133</v>
      </c>
      <c r="E57" s="28"/>
      <c r="F57" s="35">
        <v>30153</v>
      </c>
      <c r="G57" s="28"/>
      <c r="H57" s="41" t="s">
        <v>134</v>
      </c>
    </row>
    <row r="58" spans="1:8" x14ac:dyDescent="0.25">
      <c r="A58" s="45"/>
      <c r="B58" s="4"/>
      <c r="C58" s="5"/>
      <c r="D58" s="34" t="s">
        <v>135</v>
      </c>
      <c r="E58" s="34" t="s">
        <v>12</v>
      </c>
      <c r="F58" s="35">
        <v>26006</v>
      </c>
      <c r="G58" s="28"/>
      <c r="H58" s="41" t="s">
        <v>136</v>
      </c>
    </row>
    <row r="59" spans="1:8" ht="21" x14ac:dyDescent="0.25">
      <c r="A59" s="22">
        <v>945</v>
      </c>
      <c r="B59" s="66">
        <v>219</v>
      </c>
      <c r="C59" s="66">
        <v>4800</v>
      </c>
      <c r="D59" s="32" t="s">
        <v>137</v>
      </c>
      <c r="E59" s="34" t="s">
        <v>138</v>
      </c>
      <c r="F59" s="35">
        <v>27174</v>
      </c>
      <c r="G59" s="34" t="s">
        <v>139</v>
      </c>
      <c r="H59" s="41" t="s">
        <v>140</v>
      </c>
    </row>
    <row r="60" spans="1:8" ht="21" x14ac:dyDescent="0.25">
      <c r="A60" s="22">
        <v>946</v>
      </c>
      <c r="B60" s="66"/>
      <c r="C60" s="66"/>
      <c r="D60" s="34" t="s">
        <v>141</v>
      </c>
      <c r="E60" s="34" t="s">
        <v>3</v>
      </c>
      <c r="F60" s="35">
        <v>15707</v>
      </c>
      <c r="G60" s="34"/>
      <c r="H60" s="41" t="s">
        <v>142</v>
      </c>
    </row>
    <row r="61" spans="1:8" ht="21" x14ac:dyDescent="0.25">
      <c r="A61" s="22">
        <v>947</v>
      </c>
      <c r="B61" s="66"/>
      <c r="C61" s="66"/>
      <c r="D61" s="34" t="s">
        <v>143</v>
      </c>
      <c r="E61" s="34" t="s">
        <v>29</v>
      </c>
      <c r="F61" s="35">
        <v>39655</v>
      </c>
      <c r="G61" s="34"/>
      <c r="H61" s="41" t="s">
        <v>144</v>
      </c>
    </row>
    <row r="62" spans="1:8" ht="21" x14ac:dyDescent="0.25">
      <c r="A62" s="22">
        <v>948</v>
      </c>
      <c r="B62" s="66"/>
      <c r="C62" s="66"/>
      <c r="D62" s="34" t="s">
        <v>145</v>
      </c>
      <c r="E62" s="34" t="s">
        <v>29</v>
      </c>
      <c r="F62" s="35">
        <v>40351</v>
      </c>
      <c r="G62" s="34"/>
      <c r="H62" s="41" t="s">
        <v>146</v>
      </c>
    </row>
    <row r="63" spans="1:8" ht="21" x14ac:dyDescent="0.25">
      <c r="A63" s="22">
        <v>949</v>
      </c>
      <c r="B63" s="66"/>
      <c r="C63" s="66"/>
      <c r="D63" s="34" t="s">
        <v>147</v>
      </c>
      <c r="E63" s="34" t="s">
        <v>29</v>
      </c>
      <c r="F63" s="35">
        <v>41723</v>
      </c>
      <c r="G63" s="34"/>
      <c r="H63" s="41" t="s">
        <v>148</v>
      </c>
    </row>
    <row r="64" spans="1:8" x14ac:dyDescent="0.25">
      <c r="A64" s="45"/>
      <c r="B64" s="4"/>
      <c r="C64" s="5"/>
      <c r="D64" s="32" t="s">
        <v>149</v>
      </c>
      <c r="E64" s="34" t="s">
        <v>118</v>
      </c>
      <c r="F64" s="34">
        <v>25263</v>
      </c>
      <c r="G64" s="28"/>
      <c r="H64" s="31" t="s">
        <v>150</v>
      </c>
    </row>
    <row r="65" spans="1:8" x14ac:dyDescent="0.25">
      <c r="A65" s="45"/>
      <c r="B65" s="4"/>
      <c r="C65" s="5"/>
      <c r="D65" s="57" t="s">
        <v>151</v>
      </c>
      <c r="E65" s="58" t="s">
        <v>17</v>
      </c>
      <c r="F65" s="59">
        <v>21186</v>
      </c>
      <c r="G65" s="28"/>
      <c r="H65" s="60" t="s">
        <v>152</v>
      </c>
    </row>
    <row r="66" spans="1:8" ht="21.75" thickBot="1" x14ac:dyDescent="0.3">
      <c r="A66" s="61">
        <v>897</v>
      </c>
      <c r="B66" s="62">
        <v>193</v>
      </c>
      <c r="C66" s="62">
        <v>104109</v>
      </c>
      <c r="D66" s="63" t="s">
        <v>153</v>
      </c>
      <c r="E66" s="64" t="s">
        <v>154</v>
      </c>
      <c r="F66" s="64">
        <v>33604</v>
      </c>
      <c r="G66" s="64"/>
      <c r="H66" s="65" t="s">
        <v>155</v>
      </c>
    </row>
  </sheetData>
  <mergeCells count="9">
    <mergeCell ref="B59:B63"/>
    <mergeCell ref="C59:C63"/>
    <mergeCell ref="B39:B42"/>
    <mergeCell ref="C52:C54"/>
    <mergeCell ref="B1:B3"/>
    <mergeCell ref="C1:C3"/>
    <mergeCell ref="B29:B31"/>
    <mergeCell ref="C29:C31"/>
    <mergeCell ref="B36:B38"/>
  </mergeCells>
  <phoneticPr fontId="3" type="noConversion"/>
  <conditionalFormatting sqref="C25">
    <cfRule type="duplicateValues" dxfId="41" priority="44"/>
  </conditionalFormatting>
  <conditionalFormatting sqref="C25">
    <cfRule type="duplicateValues" dxfId="40" priority="42"/>
    <cfRule type="duplicateValues" dxfId="39" priority="43"/>
  </conditionalFormatting>
  <conditionalFormatting sqref="B25">
    <cfRule type="duplicateValues" dxfId="38" priority="41"/>
  </conditionalFormatting>
  <conditionalFormatting sqref="B25">
    <cfRule type="duplicateValues" dxfId="37" priority="39"/>
    <cfRule type="duplicateValues" dxfId="36" priority="40"/>
  </conditionalFormatting>
  <conditionalFormatting sqref="C26">
    <cfRule type="duplicateValues" dxfId="35" priority="37"/>
    <cfRule type="duplicateValues" dxfId="34" priority="38"/>
  </conditionalFormatting>
  <conditionalFormatting sqref="C26">
    <cfRule type="duplicateValues" dxfId="33" priority="35"/>
    <cfRule type="duplicateValues" dxfId="32" priority="36"/>
  </conditionalFormatting>
  <conditionalFormatting sqref="B26">
    <cfRule type="duplicateValues" dxfId="31" priority="33"/>
    <cfRule type="duplicateValues" dxfId="30" priority="34"/>
  </conditionalFormatting>
  <conditionalFormatting sqref="B26">
    <cfRule type="duplicateValues" dxfId="29" priority="31"/>
    <cfRule type="duplicateValues" dxfId="28" priority="32"/>
  </conditionalFormatting>
  <conditionalFormatting sqref="C27">
    <cfRule type="duplicateValues" dxfId="27" priority="29"/>
    <cfRule type="duplicateValues" dxfId="26" priority="30"/>
  </conditionalFormatting>
  <conditionalFormatting sqref="B27">
    <cfRule type="duplicateValues" dxfId="25" priority="27"/>
    <cfRule type="duplicateValues" dxfId="24" priority="28"/>
  </conditionalFormatting>
  <conditionalFormatting sqref="C28">
    <cfRule type="duplicateValues" dxfId="23" priority="26"/>
  </conditionalFormatting>
  <conditionalFormatting sqref="C29:C31">
    <cfRule type="duplicateValues" dxfId="22" priority="45"/>
  </conditionalFormatting>
  <conditionalFormatting sqref="B29:B31">
    <cfRule type="duplicateValues" dxfId="21" priority="46"/>
  </conditionalFormatting>
  <conditionalFormatting sqref="C29:C31">
    <cfRule type="duplicateValues" dxfId="20" priority="48"/>
    <cfRule type="duplicateValues" dxfId="19" priority="49"/>
  </conditionalFormatting>
  <conditionalFormatting sqref="C47:C48">
    <cfRule type="duplicateValues" dxfId="18" priority="18"/>
  </conditionalFormatting>
  <conditionalFormatting sqref="C47:C48">
    <cfRule type="duplicateValues" dxfId="17" priority="15"/>
    <cfRule type="duplicateValues" dxfId="16" priority="16"/>
    <cfRule type="duplicateValues" dxfId="15" priority="17"/>
  </conditionalFormatting>
  <conditionalFormatting sqref="C47:C48">
    <cfRule type="duplicateValues" dxfId="14" priority="14"/>
  </conditionalFormatting>
  <conditionalFormatting sqref="C47:C48">
    <cfRule type="duplicateValues" dxfId="13" priority="19"/>
  </conditionalFormatting>
  <conditionalFormatting sqref="C52:C54">
    <cfRule type="duplicateValues" dxfId="12" priority="13"/>
  </conditionalFormatting>
  <conditionalFormatting sqref="C52:C54">
    <cfRule type="duplicateValues" dxfId="11" priority="9"/>
    <cfRule type="duplicateValues" dxfId="10" priority="11"/>
    <cfRule type="duplicateValues" dxfId="9" priority="12"/>
  </conditionalFormatting>
  <conditionalFormatting sqref="C52:C54">
    <cfRule type="duplicateValues" dxfId="8" priority="8"/>
  </conditionalFormatting>
  <conditionalFormatting sqref="C52:C54">
    <cfRule type="duplicateValues" dxfId="7" priority="10"/>
  </conditionalFormatting>
  <conditionalFormatting sqref="C59:C63">
    <cfRule type="duplicateValues" dxfId="6" priority="7"/>
  </conditionalFormatting>
  <conditionalFormatting sqref="C66">
    <cfRule type="duplicateValues" dxfId="5" priority="5"/>
  </conditionalFormatting>
  <conditionalFormatting sqref="C66">
    <cfRule type="duplicateValues" dxfId="4" priority="2"/>
    <cfRule type="duplicateValues" dxfId="3" priority="3"/>
    <cfRule type="duplicateValues" dxfId="2" priority="4"/>
  </conditionalFormatting>
  <conditionalFormatting sqref="C66">
    <cfRule type="duplicateValues" dxfId="1" priority="1"/>
  </conditionalFormatting>
  <conditionalFormatting sqref="C66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STC</dc:creator>
  <cp:lastModifiedBy>pc</cp:lastModifiedBy>
  <cp:lastPrinted>2026-04-21T11:06:26Z</cp:lastPrinted>
  <dcterms:created xsi:type="dcterms:W3CDTF">2015-06-05T18:17:20Z</dcterms:created>
  <dcterms:modified xsi:type="dcterms:W3CDTF">2026-04-21T11:06:33Z</dcterms:modified>
</cp:coreProperties>
</file>